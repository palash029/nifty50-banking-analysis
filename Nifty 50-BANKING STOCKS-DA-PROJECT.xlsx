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6327538-A8D3-4AD0-A4CF-0D1D59C31864}" xr6:coauthVersionLast="47" xr6:coauthVersionMax="47" xr10:uidLastSave="{00000000-0000-0000-0000-000000000000}"/>
  <bookViews>
    <workbookView xWindow="-120" yWindow="-120" windowWidth="20730" windowHeight="11160" activeTab="7" xr2:uid="{08CD5B51-2CFF-46D5-8C86-59DDCE764557}"/>
  </bookViews>
  <sheets>
    <sheet name="Master Sheet" sheetId="8" r:id="rId1"/>
    <sheet name="Dashboard" sheetId="9" r:id="rId2"/>
    <sheet name="AXISBANK" sheetId="1" r:id="rId3"/>
    <sheet name="HDFC" sheetId="3" r:id="rId4"/>
    <sheet name="ICICI" sheetId="4" r:id="rId5"/>
    <sheet name="INDUS" sheetId="5" r:id="rId6"/>
    <sheet name="KOTAK" sheetId="6" r:id="rId7"/>
    <sheet name="SBI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7" l="1"/>
  <c r="N11" i="6"/>
  <c r="N11" i="5"/>
  <c r="N11" i="4"/>
  <c r="N11" i="3"/>
  <c r="N11" i="1"/>
  <c r="J26" i="7"/>
  <c r="K26" i="7" s="1"/>
  <c r="I26" i="7"/>
  <c r="H26" i="7"/>
  <c r="G26" i="7"/>
  <c r="J25" i="7"/>
  <c r="K25" i="7" s="1"/>
  <c r="I25" i="7"/>
  <c r="G25" i="7"/>
  <c r="H25" i="7" s="1"/>
  <c r="J24" i="7"/>
  <c r="K24" i="7" s="1"/>
  <c r="G24" i="7"/>
  <c r="I24" i="7" s="1"/>
  <c r="K23" i="7"/>
  <c r="J23" i="7"/>
  <c r="G23" i="7"/>
  <c r="I23" i="7" s="1"/>
  <c r="J22" i="7"/>
  <c r="K22" i="7" s="1"/>
  <c r="I22" i="7"/>
  <c r="H22" i="7"/>
  <c r="G22" i="7"/>
  <c r="J21" i="7"/>
  <c r="K21" i="7" s="1"/>
  <c r="I21" i="7"/>
  <c r="G21" i="7"/>
  <c r="H21" i="7" s="1"/>
  <c r="J20" i="7"/>
  <c r="K20" i="7" s="1"/>
  <c r="G20" i="7"/>
  <c r="I20" i="7" s="1"/>
  <c r="K19" i="7"/>
  <c r="J19" i="7"/>
  <c r="G19" i="7"/>
  <c r="I19" i="7" s="1"/>
  <c r="J18" i="7"/>
  <c r="K18" i="7" s="1"/>
  <c r="I18" i="7"/>
  <c r="H18" i="7"/>
  <c r="G18" i="7"/>
  <c r="J17" i="7"/>
  <c r="K17" i="7" s="1"/>
  <c r="I17" i="7"/>
  <c r="G17" i="7"/>
  <c r="H17" i="7" s="1"/>
  <c r="J16" i="7"/>
  <c r="K16" i="7" s="1"/>
  <c r="G16" i="7"/>
  <c r="I16" i="7" s="1"/>
  <c r="K15" i="7"/>
  <c r="J15" i="7"/>
  <c r="G15" i="7"/>
  <c r="I15" i="7" s="1"/>
  <c r="J14" i="7"/>
  <c r="K14" i="7" s="1"/>
  <c r="I14" i="7"/>
  <c r="H14" i="7"/>
  <c r="G14" i="7"/>
  <c r="J13" i="7"/>
  <c r="K13" i="7" s="1"/>
  <c r="I13" i="7"/>
  <c r="G13" i="7"/>
  <c r="H13" i="7" s="1"/>
  <c r="J12" i="7"/>
  <c r="K12" i="7" s="1"/>
  <c r="G12" i="7"/>
  <c r="I12" i="7" s="1"/>
  <c r="K11" i="7"/>
  <c r="J11" i="7"/>
  <c r="G11" i="7"/>
  <c r="I11" i="7" s="1"/>
  <c r="J10" i="7"/>
  <c r="K10" i="7" s="1"/>
  <c r="I10" i="7"/>
  <c r="H10" i="7"/>
  <c r="G10" i="7"/>
  <c r="K9" i="7"/>
  <c r="J9" i="7"/>
  <c r="G9" i="7"/>
  <c r="H9" i="7" s="1"/>
  <c r="N8" i="7"/>
  <c r="J8" i="7"/>
  <c r="K8" i="7" s="1"/>
  <c r="I8" i="7"/>
  <c r="H8" i="7"/>
  <c r="G8" i="7"/>
  <c r="K7" i="7"/>
  <c r="J7" i="7"/>
  <c r="G7" i="7"/>
  <c r="H7" i="7" s="1"/>
  <c r="J6" i="7"/>
  <c r="K6" i="7" s="1"/>
  <c r="I6" i="7"/>
  <c r="H6" i="7"/>
  <c r="G6" i="7"/>
  <c r="K5" i="7"/>
  <c r="J5" i="7"/>
  <c r="G5" i="7"/>
  <c r="N6" i="7" s="1"/>
  <c r="J4" i="7"/>
  <c r="K4" i="7" s="1"/>
  <c r="I4" i="7"/>
  <c r="H4" i="7"/>
  <c r="G4" i="7"/>
  <c r="J26" i="6"/>
  <c r="K26" i="6" s="1"/>
  <c r="I26" i="6"/>
  <c r="H26" i="6"/>
  <c r="G26" i="6"/>
  <c r="J25" i="6"/>
  <c r="K25" i="6" s="1"/>
  <c r="I25" i="6"/>
  <c r="G25" i="6"/>
  <c r="H25" i="6" s="1"/>
  <c r="J24" i="6"/>
  <c r="K24" i="6" s="1"/>
  <c r="G24" i="6"/>
  <c r="I24" i="6" s="1"/>
  <c r="K23" i="6"/>
  <c r="J23" i="6"/>
  <c r="G23" i="6"/>
  <c r="I23" i="6" s="1"/>
  <c r="J22" i="6"/>
  <c r="K22" i="6" s="1"/>
  <c r="I22" i="6"/>
  <c r="H22" i="6"/>
  <c r="G22" i="6"/>
  <c r="J21" i="6"/>
  <c r="K21" i="6" s="1"/>
  <c r="I21" i="6"/>
  <c r="G21" i="6"/>
  <c r="H21" i="6" s="1"/>
  <c r="J20" i="6"/>
  <c r="K20" i="6" s="1"/>
  <c r="G20" i="6"/>
  <c r="I20" i="6" s="1"/>
  <c r="K19" i="6"/>
  <c r="J19" i="6"/>
  <c r="G19" i="6"/>
  <c r="I19" i="6" s="1"/>
  <c r="J18" i="6"/>
  <c r="K18" i="6" s="1"/>
  <c r="I18" i="6"/>
  <c r="H18" i="6"/>
  <c r="G18" i="6"/>
  <c r="J17" i="6"/>
  <c r="K17" i="6" s="1"/>
  <c r="I17" i="6"/>
  <c r="G17" i="6"/>
  <c r="H17" i="6" s="1"/>
  <c r="J16" i="6"/>
  <c r="K16" i="6" s="1"/>
  <c r="G16" i="6"/>
  <c r="I16" i="6" s="1"/>
  <c r="K15" i="6"/>
  <c r="J15" i="6"/>
  <c r="G15" i="6"/>
  <c r="I15" i="6" s="1"/>
  <c r="J14" i="6"/>
  <c r="K14" i="6" s="1"/>
  <c r="I14" i="6"/>
  <c r="H14" i="6"/>
  <c r="G14" i="6"/>
  <c r="J13" i="6"/>
  <c r="K13" i="6" s="1"/>
  <c r="I13" i="6"/>
  <c r="G13" i="6"/>
  <c r="H13" i="6" s="1"/>
  <c r="J12" i="6"/>
  <c r="K12" i="6" s="1"/>
  <c r="G12" i="6"/>
  <c r="I12" i="6" s="1"/>
  <c r="K11" i="6"/>
  <c r="J11" i="6"/>
  <c r="G11" i="6"/>
  <c r="I11" i="6" s="1"/>
  <c r="J10" i="6"/>
  <c r="K10" i="6" s="1"/>
  <c r="I10" i="6"/>
  <c r="G10" i="6"/>
  <c r="H10" i="6" s="1"/>
  <c r="K9" i="6"/>
  <c r="J9" i="6"/>
  <c r="G9" i="6"/>
  <c r="I9" i="6" s="1"/>
  <c r="N8" i="6"/>
  <c r="J8" i="6"/>
  <c r="K8" i="6" s="1"/>
  <c r="I8" i="6"/>
  <c r="H8" i="6"/>
  <c r="G8" i="6"/>
  <c r="K7" i="6"/>
  <c r="J7" i="6"/>
  <c r="G7" i="6"/>
  <c r="I7" i="6" s="1"/>
  <c r="J6" i="6"/>
  <c r="K6" i="6" s="1"/>
  <c r="I6" i="6"/>
  <c r="H6" i="6"/>
  <c r="G6" i="6"/>
  <c r="K5" i="6"/>
  <c r="J5" i="6"/>
  <c r="G5" i="6"/>
  <c r="N6" i="6" s="1"/>
  <c r="J4" i="6"/>
  <c r="K4" i="6" s="1"/>
  <c r="I4" i="6"/>
  <c r="H4" i="6"/>
  <c r="G4" i="6"/>
  <c r="J26" i="5"/>
  <c r="K26" i="5" s="1"/>
  <c r="I26" i="5"/>
  <c r="H26" i="5"/>
  <c r="G26" i="5"/>
  <c r="J25" i="5"/>
  <c r="K25" i="5" s="1"/>
  <c r="I25" i="5"/>
  <c r="G25" i="5"/>
  <c r="H25" i="5" s="1"/>
  <c r="J24" i="5"/>
  <c r="K24" i="5" s="1"/>
  <c r="G24" i="5"/>
  <c r="I24" i="5" s="1"/>
  <c r="K23" i="5"/>
  <c r="J23" i="5"/>
  <c r="G23" i="5"/>
  <c r="I23" i="5" s="1"/>
  <c r="J22" i="5"/>
  <c r="K22" i="5" s="1"/>
  <c r="I22" i="5"/>
  <c r="H22" i="5"/>
  <c r="G22" i="5"/>
  <c r="J21" i="5"/>
  <c r="K21" i="5" s="1"/>
  <c r="I21" i="5"/>
  <c r="G21" i="5"/>
  <c r="H21" i="5" s="1"/>
  <c r="J20" i="5"/>
  <c r="K20" i="5" s="1"/>
  <c r="G20" i="5"/>
  <c r="I20" i="5" s="1"/>
  <c r="K19" i="5"/>
  <c r="J19" i="5"/>
  <c r="G19" i="5"/>
  <c r="I19" i="5" s="1"/>
  <c r="J18" i="5"/>
  <c r="K18" i="5" s="1"/>
  <c r="I18" i="5"/>
  <c r="H18" i="5"/>
  <c r="G18" i="5"/>
  <c r="J17" i="5"/>
  <c r="K17" i="5" s="1"/>
  <c r="I17" i="5"/>
  <c r="G17" i="5"/>
  <c r="H17" i="5" s="1"/>
  <c r="J16" i="5"/>
  <c r="K16" i="5" s="1"/>
  <c r="G16" i="5"/>
  <c r="I16" i="5" s="1"/>
  <c r="K15" i="5"/>
  <c r="J15" i="5"/>
  <c r="G15" i="5"/>
  <c r="I15" i="5" s="1"/>
  <c r="J14" i="5"/>
  <c r="K14" i="5" s="1"/>
  <c r="I14" i="5"/>
  <c r="H14" i="5"/>
  <c r="G14" i="5"/>
  <c r="J13" i="5"/>
  <c r="K13" i="5" s="1"/>
  <c r="I13" i="5"/>
  <c r="G13" i="5"/>
  <c r="H13" i="5" s="1"/>
  <c r="J12" i="5"/>
  <c r="K12" i="5" s="1"/>
  <c r="G12" i="5"/>
  <c r="I12" i="5" s="1"/>
  <c r="K11" i="5"/>
  <c r="J11" i="5"/>
  <c r="G11" i="5"/>
  <c r="I11" i="5" s="1"/>
  <c r="J10" i="5"/>
  <c r="K10" i="5" s="1"/>
  <c r="I10" i="5"/>
  <c r="H10" i="5"/>
  <c r="G10" i="5"/>
  <c r="K9" i="5"/>
  <c r="J9" i="5"/>
  <c r="G9" i="5"/>
  <c r="I9" i="5" s="1"/>
  <c r="N8" i="5"/>
  <c r="J8" i="5"/>
  <c r="K8" i="5" s="1"/>
  <c r="I8" i="5"/>
  <c r="H8" i="5"/>
  <c r="G8" i="5"/>
  <c r="K7" i="5"/>
  <c r="J7" i="5"/>
  <c r="G7" i="5"/>
  <c r="I7" i="5" s="1"/>
  <c r="J6" i="5"/>
  <c r="K6" i="5" s="1"/>
  <c r="I6" i="5"/>
  <c r="H6" i="5"/>
  <c r="G6" i="5"/>
  <c r="K5" i="5"/>
  <c r="J5" i="5"/>
  <c r="G5" i="5"/>
  <c r="N6" i="5" s="1"/>
  <c r="J4" i="5"/>
  <c r="K4" i="5" s="1"/>
  <c r="I4" i="5"/>
  <c r="H4" i="5"/>
  <c r="G4" i="5"/>
  <c r="J26" i="4"/>
  <c r="K26" i="4" s="1"/>
  <c r="H26" i="4"/>
  <c r="G26" i="4"/>
  <c r="I26" i="4" s="1"/>
  <c r="K25" i="4"/>
  <c r="J25" i="4"/>
  <c r="I25" i="4"/>
  <c r="G25" i="4"/>
  <c r="H25" i="4" s="1"/>
  <c r="J24" i="4"/>
  <c r="K24" i="4" s="1"/>
  <c r="H24" i="4"/>
  <c r="G24" i="4"/>
  <c r="I24" i="4" s="1"/>
  <c r="K23" i="4"/>
  <c r="J23" i="4"/>
  <c r="G23" i="4"/>
  <c r="I23" i="4" s="1"/>
  <c r="J22" i="4"/>
  <c r="K22" i="4" s="1"/>
  <c r="H22" i="4"/>
  <c r="G22" i="4"/>
  <c r="I22" i="4" s="1"/>
  <c r="K21" i="4"/>
  <c r="J21" i="4"/>
  <c r="I21" i="4"/>
  <c r="G21" i="4"/>
  <c r="H21" i="4" s="1"/>
  <c r="J20" i="4"/>
  <c r="K20" i="4" s="1"/>
  <c r="H20" i="4"/>
  <c r="G20" i="4"/>
  <c r="I20" i="4" s="1"/>
  <c r="K19" i="4"/>
  <c r="J19" i="4"/>
  <c r="G19" i="4"/>
  <c r="I19" i="4" s="1"/>
  <c r="J18" i="4"/>
  <c r="K18" i="4" s="1"/>
  <c r="H18" i="4"/>
  <c r="G18" i="4"/>
  <c r="I18" i="4" s="1"/>
  <c r="K17" i="4"/>
  <c r="J17" i="4"/>
  <c r="I17" i="4"/>
  <c r="G17" i="4"/>
  <c r="H17" i="4" s="1"/>
  <c r="J16" i="4"/>
  <c r="K16" i="4" s="1"/>
  <c r="H16" i="4"/>
  <c r="G16" i="4"/>
  <c r="I16" i="4" s="1"/>
  <c r="K15" i="4"/>
  <c r="J15" i="4"/>
  <c r="G15" i="4"/>
  <c r="I15" i="4" s="1"/>
  <c r="J14" i="4"/>
  <c r="K14" i="4" s="1"/>
  <c r="H14" i="4"/>
  <c r="G14" i="4"/>
  <c r="I14" i="4" s="1"/>
  <c r="K13" i="4"/>
  <c r="J13" i="4"/>
  <c r="I13" i="4"/>
  <c r="G13" i="4"/>
  <c r="H13" i="4" s="1"/>
  <c r="J12" i="4"/>
  <c r="K12" i="4" s="1"/>
  <c r="H12" i="4"/>
  <c r="G12" i="4"/>
  <c r="I12" i="4" s="1"/>
  <c r="K11" i="4"/>
  <c r="J11" i="4"/>
  <c r="G11" i="4"/>
  <c r="I11" i="4" s="1"/>
  <c r="K10" i="4"/>
  <c r="J10" i="4"/>
  <c r="I10" i="4"/>
  <c r="G10" i="4"/>
  <c r="H10" i="4" s="1"/>
  <c r="K9" i="4"/>
  <c r="J9" i="4"/>
  <c r="G9" i="4"/>
  <c r="I9" i="4" s="1"/>
  <c r="N8" i="4"/>
  <c r="J8" i="4"/>
  <c r="K8" i="4" s="1"/>
  <c r="I8" i="4"/>
  <c r="G8" i="4"/>
  <c r="H8" i="4" s="1"/>
  <c r="K7" i="4"/>
  <c r="J7" i="4"/>
  <c r="G7" i="4"/>
  <c r="H7" i="4" s="1"/>
  <c r="J6" i="4"/>
  <c r="K6" i="4" s="1"/>
  <c r="I6" i="4"/>
  <c r="H6" i="4"/>
  <c r="G6" i="4"/>
  <c r="K5" i="4"/>
  <c r="J5" i="4"/>
  <c r="G5" i="4"/>
  <c r="H5" i="4" s="1"/>
  <c r="J4" i="4"/>
  <c r="K4" i="4" s="1"/>
  <c r="N5" i="4" s="1"/>
  <c r="I4" i="4"/>
  <c r="H4" i="4"/>
  <c r="G4" i="4"/>
  <c r="N6" i="4" s="1"/>
  <c r="N10" i="3"/>
  <c r="N9" i="3"/>
  <c r="N8" i="3"/>
  <c r="N7" i="3"/>
  <c r="N6" i="3"/>
  <c r="N5" i="3"/>
  <c r="N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4" i="3"/>
  <c r="J4" i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4" i="3"/>
  <c r="G4" i="1"/>
  <c r="H4" i="1"/>
  <c r="N8" i="1"/>
  <c r="G5" i="1"/>
  <c r="I5" i="1" s="1"/>
  <c r="G6" i="1"/>
  <c r="G7" i="1"/>
  <c r="I7" i="1" s="1"/>
  <c r="G8" i="1"/>
  <c r="H8" i="1" s="1"/>
  <c r="G9" i="1"/>
  <c r="H9" i="1" s="1"/>
  <c r="G10" i="1"/>
  <c r="I10" i="1" s="1"/>
  <c r="G11" i="1"/>
  <c r="I11" i="1" s="1"/>
  <c r="G12" i="1"/>
  <c r="H12" i="1" s="1"/>
  <c r="G13" i="1"/>
  <c r="H13" i="1" s="1"/>
  <c r="G14" i="1"/>
  <c r="H14" i="1" s="1"/>
  <c r="G15" i="1"/>
  <c r="I15" i="1" s="1"/>
  <c r="G16" i="1"/>
  <c r="H16" i="1" s="1"/>
  <c r="G17" i="1"/>
  <c r="I17" i="1" s="1"/>
  <c r="G18" i="1"/>
  <c r="I18" i="1" s="1"/>
  <c r="G19" i="1"/>
  <c r="I19" i="1" s="1"/>
  <c r="G20" i="1"/>
  <c r="H20" i="1" s="1"/>
  <c r="G21" i="1"/>
  <c r="I21" i="1" s="1"/>
  <c r="G22" i="1"/>
  <c r="I22" i="1" s="1"/>
  <c r="G23" i="1"/>
  <c r="I23" i="1" s="1"/>
  <c r="G24" i="1"/>
  <c r="H24" i="1" s="1"/>
  <c r="G25" i="1"/>
  <c r="H25" i="1" s="1"/>
  <c r="G26" i="1"/>
  <c r="I26" i="1" s="1"/>
  <c r="K4" i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I9" i="1"/>
  <c r="I16" i="1"/>
  <c r="I25" i="1"/>
  <c r="D7" i="9" a="1"/>
  <c r="C2" i="9" a="1"/>
  <c r="B6" i="9" a="1"/>
  <c r="H3" i="9" a="1"/>
  <c r="G4" i="9" a="1"/>
  <c r="G3" i="8" a="1"/>
  <c r="E6" i="8" a="1"/>
  <c r="B7" i="8" a="1"/>
  <c r="G2" i="8" a="1"/>
  <c r="D5" i="8" a="1"/>
  <c r="F5" i="9" a="1"/>
  <c r="D3" i="8" a="1"/>
  <c r="F2" i="8" a="1"/>
  <c r="E7" i="9" a="1"/>
  <c r="D2" i="9" a="1"/>
  <c r="C6" i="9" a="1"/>
  <c r="G3" i="9" a="1"/>
  <c r="F4" i="9" a="1"/>
  <c r="F5" i="8" a="1"/>
  <c r="B6" i="8" a="1"/>
  <c r="D4" i="8" a="1"/>
  <c r="G2" i="9" a="1"/>
  <c r="C3" i="8" a="1"/>
  <c r="E5" i="8" a="1"/>
  <c r="G7" i="8" a="1"/>
  <c r="B2" i="8" a="1"/>
  <c r="H2" i="9" a="1"/>
  <c r="D5" i="9" a="1"/>
  <c r="C3" i="9" a="1"/>
  <c r="D7" i="8" a="1"/>
  <c r="F7" i="9" a="1"/>
  <c r="D6" i="9" a="1"/>
  <c r="C5" i="9" a="1"/>
  <c r="B3" i="9" a="1"/>
  <c r="H7" i="8" a="1"/>
  <c r="E3" i="8" a="1"/>
  <c r="C5" i="8" a="1"/>
  <c r="G5" i="8" a="1"/>
  <c r="E2" i="8" a="1"/>
  <c r="B4" i="8" a="1"/>
  <c r="F7" i="8" a="1"/>
  <c r="G4" i="8" a="1"/>
  <c r="G7" i="9" a="1"/>
  <c r="F2" i="9" a="1"/>
  <c r="E6" i="9" a="1"/>
  <c r="B5" i="9" a="1"/>
  <c r="H4" i="9" a="1"/>
  <c r="H3" i="8" a="1"/>
  <c r="B3" i="8" a="1"/>
  <c r="E4" i="8" a="1"/>
  <c r="B7" i="9" a="1"/>
  <c r="H6" i="9" a="1"/>
  <c r="G5" i="9" a="1"/>
  <c r="F3" i="9" a="1"/>
  <c r="E4" i="9" a="1"/>
  <c r="G6" i="8" a="1"/>
  <c r="D6" i="8" a="1"/>
  <c r="B5" i="8" a="1"/>
  <c r="F3" i="8" a="1"/>
  <c r="C7" i="8" a="1"/>
  <c r="H6" i="8" a="1"/>
  <c r="C4" i="8" a="1"/>
  <c r="D2" i="8" a="1"/>
  <c r="C7" i="9" a="1"/>
  <c r="B2" i="9" a="1"/>
  <c r="H5" i="9" a="1"/>
  <c r="E3" i="9" a="1"/>
  <c r="D4" i="9" a="1"/>
  <c r="E7" i="8" a="1"/>
  <c r="H2" i="8" a="1"/>
  <c r="C6" i="8" a="1"/>
  <c r="H7" i="9" a="1"/>
  <c r="F6" i="9" a="1"/>
  <c r="E5" i="9" a="1"/>
  <c r="D3" i="9" a="1"/>
  <c r="C4" i="9" a="1"/>
  <c r="F6" i="8" a="1"/>
  <c r="H4" i="8" a="1"/>
  <c r="C2" i="8" a="1"/>
  <c r="H5" i="8" a="1"/>
  <c r="G6" i="9" a="1"/>
  <c r="B4" i="9" a="1"/>
  <c r="F4" i="8" a="1"/>
  <c r="E2" i="9" a="1"/>
  <c r="B4" i="9" l="1"/>
  <c r="D4" i="9"/>
  <c r="F4" i="9"/>
  <c r="H4" i="9"/>
  <c r="I4" i="9" s="1"/>
  <c r="C3" i="9"/>
  <c r="E3" i="9"/>
  <c r="G3" i="9"/>
  <c r="B5" i="9"/>
  <c r="D5" i="9"/>
  <c r="H5" i="9"/>
  <c r="I5" i="9" s="1"/>
  <c r="C6" i="9"/>
  <c r="E6" i="9"/>
  <c r="G6" i="9"/>
  <c r="B2" i="9"/>
  <c r="D2" i="9"/>
  <c r="F2" i="9"/>
  <c r="H2" i="9"/>
  <c r="I2" i="9" s="1"/>
  <c r="C7" i="9"/>
  <c r="E7" i="9"/>
  <c r="G7" i="9"/>
  <c r="F5" i="9"/>
  <c r="C4" i="9"/>
  <c r="E4" i="9"/>
  <c r="G4" i="9"/>
  <c r="B3" i="9"/>
  <c r="D3" i="9"/>
  <c r="F3" i="9"/>
  <c r="H3" i="9"/>
  <c r="I3" i="9" s="1"/>
  <c r="C5" i="9"/>
  <c r="E5" i="9"/>
  <c r="G5" i="9"/>
  <c r="B6" i="9"/>
  <c r="D6" i="9"/>
  <c r="F6" i="9"/>
  <c r="H6" i="9"/>
  <c r="I6" i="9" s="1"/>
  <c r="C2" i="9"/>
  <c r="E2" i="9"/>
  <c r="G2" i="9"/>
  <c r="B7" i="9"/>
  <c r="D7" i="9"/>
  <c r="F7" i="9"/>
  <c r="H7" i="9"/>
  <c r="I7" i="9" s="1"/>
  <c r="H6" i="8"/>
  <c r="I6" i="8" s="1"/>
  <c r="H4" i="8"/>
  <c r="I4" i="8" s="1"/>
  <c r="H7" i="8"/>
  <c r="I7" i="8" s="1"/>
  <c r="H5" i="8"/>
  <c r="I5" i="8" s="1"/>
  <c r="H3" i="8"/>
  <c r="I3" i="8" s="1"/>
  <c r="H2" i="8"/>
  <c r="I2" i="8" s="1"/>
  <c r="G6" i="8"/>
  <c r="G4" i="8"/>
  <c r="G7" i="8"/>
  <c r="G5" i="8"/>
  <c r="G3" i="8"/>
  <c r="G2" i="8"/>
  <c r="F7" i="8"/>
  <c r="F3" i="8"/>
  <c r="F6" i="8"/>
  <c r="F4" i="8"/>
  <c r="F5" i="8"/>
  <c r="F2" i="8"/>
  <c r="E6" i="8"/>
  <c r="E4" i="8"/>
  <c r="E7" i="8"/>
  <c r="E5" i="8"/>
  <c r="E3" i="8"/>
  <c r="E2" i="8"/>
  <c r="D7" i="8"/>
  <c r="D5" i="8"/>
  <c r="D6" i="8"/>
  <c r="D4" i="8"/>
  <c r="D3" i="8"/>
  <c r="D2" i="8"/>
  <c r="C5" i="8"/>
  <c r="C6" i="8"/>
  <c r="C4" i="8"/>
  <c r="C7" i="8"/>
  <c r="C3" i="8"/>
  <c r="C2" i="8"/>
  <c r="B6" i="8"/>
  <c r="B4" i="8"/>
  <c r="B7" i="8"/>
  <c r="B5" i="8"/>
  <c r="B3" i="8"/>
  <c r="B2" i="8"/>
  <c r="N5" i="7"/>
  <c r="N9" i="7"/>
  <c r="H11" i="7"/>
  <c r="H15" i="7"/>
  <c r="H19" i="7"/>
  <c r="H23" i="7"/>
  <c r="I5" i="7"/>
  <c r="N4" i="7" s="1"/>
  <c r="I7" i="7"/>
  <c r="I9" i="7"/>
  <c r="H12" i="7"/>
  <c r="H16" i="7"/>
  <c r="H20" i="7"/>
  <c r="H24" i="7"/>
  <c r="H5" i="7"/>
  <c r="N10" i="7" s="1"/>
  <c r="N7" i="7"/>
  <c r="N5" i="6"/>
  <c r="H5" i="6"/>
  <c r="N10" i="6" s="1"/>
  <c r="H7" i="6"/>
  <c r="N7" i="6"/>
  <c r="H9" i="6"/>
  <c r="H11" i="6"/>
  <c r="H15" i="6"/>
  <c r="H19" i="6"/>
  <c r="H23" i="6"/>
  <c r="I5" i="6"/>
  <c r="N4" i="6" s="1"/>
  <c r="H12" i="6"/>
  <c r="H16" i="6"/>
  <c r="H20" i="6"/>
  <c r="H24" i="6"/>
  <c r="N9" i="6"/>
  <c r="N5" i="5"/>
  <c r="H5" i="5"/>
  <c r="N10" i="5" s="1"/>
  <c r="H7" i="5"/>
  <c r="N7" i="5"/>
  <c r="H9" i="5"/>
  <c r="H11" i="5"/>
  <c r="H15" i="5"/>
  <c r="H19" i="5"/>
  <c r="H23" i="5"/>
  <c r="I5" i="5"/>
  <c r="N4" i="5" s="1"/>
  <c r="H12" i="5"/>
  <c r="H16" i="5"/>
  <c r="H20" i="5"/>
  <c r="H24" i="5"/>
  <c r="N9" i="5"/>
  <c r="N9" i="4"/>
  <c r="H11" i="4"/>
  <c r="H15" i="4"/>
  <c r="H19" i="4"/>
  <c r="H23" i="4"/>
  <c r="N7" i="4"/>
  <c r="H9" i="4"/>
  <c r="N10" i="4" s="1"/>
  <c r="I5" i="4"/>
  <c r="N4" i="4" s="1"/>
  <c r="I7" i="4"/>
  <c r="I4" i="1"/>
  <c r="I13" i="1"/>
  <c r="H19" i="1"/>
  <c r="I14" i="1"/>
  <c r="N9" i="1"/>
  <c r="H11" i="1"/>
  <c r="I8" i="1"/>
  <c r="H15" i="1"/>
  <c r="I24" i="1"/>
  <c r="I20" i="1"/>
  <c r="I12" i="1"/>
  <c r="H23" i="1"/>
  <c r="H7" i="1"/>
  <c r="N5" i="1"/>
  <c r="H26" i="1"/>
  <c r="H22" i="1"/>
  <c r="H18" i="1"/>
  <c r="H10" i="1"/>
  <c r="H6" i="1"/>
  <c r="N7" i="1"/>
  <c r="H21" i="1"/>
  <c r="H17" i="1"/>
  <c r="H5" i="1"/>
  <c r="I6" i="1"/>
  <c r="N6" i="1"/>
  <c r="N10" i="1" l="1"/>
  <c r="N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<sst xmlns="http://schemas.openxmlformats.org/spreadsheetml/2006/main" count="184" uniqueCount="39">
  <si>
    <t>Price</t>
  </si>
  <si>
    <t>Close</t>
  </si>
  <si>
    <t>High</t>
  </si>
  <si>
    <t>Low</t>
  </si>
  <si>
    <t>Open</t>
  </si>
  <si>
    <t>Volume</t>
  </si>
  <si>
    <t>Ticker</t>
  </si>
  <si>
    <t>AXISBANK.NS</t>
  </si>
  <si>
    <t>Date</t>
  </si>
  <si>
    <t>HDFCBANK.NS</t>
  </si>
  <si>
    <t>ICICIBANK.NS</t>
  </si>
  <si>
    <t>INDUSINDBK.NS</t>
  </si>
  <si>
    <t>KOTAKBANK.NS</t>
  </si>
  <si>
    <t>SBIN.NS</t>
  </si>
  <si>
    <t>% Change in Price</t>
  </si>
  <si>
    <t>Volitility Range</t>
  </si>
  <si>
    <t>Volitility %</t>
  </si>
  <si>
    <t>Average Monthly Return %</t>
  </si>
  <si>
    <t>Average Monthly Volitility %</t>
  </si>
  <si>
    <t xml:space="preserve">Highest Return in a day </t>
  </si>
  <si>
    <t>Lowest Return in a day</t>
  </si>
  <si>
    <t>Average Volume traded (monthly)</t>
  </si>
  <si>
    <t xml:space="preserve">Average Green Days </t>
  </si>
  <si>
    <t>Number of Green Days</t>
  </si>
  <si>
    <t xml:space="preserve"> Bank </t>
  </si>
  <si>
    <t xml:space="preserve"> Avg Return % </t>
  </si>
  <si>
    <t xml:space="preserve"> Max Return </t>
  </si>
  <si>
    <t xml:space="preserve"> Min Return </t>
  </si>
  <si>
    <t xml:space="preserve"> Avg Volatility % </t>
  </si>
  <si>
    <t xml:space="preserve"> Green Days % </t>
  </si>
  <si>
    <t xml:space="preserve"> Avg Volume (Monthly) </t>
  </si>
  <si>
    <t>HDFC</t>
  </si>
  <si>
    <t>ICICI</t>
  </si>
  <si>
    <t>INDUS</t>
  </si>
  <si>
    <t>KOTAK</t>
  </si>
  <si>
    <t>SBI</t>
  </si>
  <si>
    <t>AXISBANK</t>
  </si>
  <si>
    <t>Standard Deviation of Return %</t>
  </si>
  <si>
    <t>Stability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</si>
</sst>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4" fontId="16" fillId="0" borderId="0" xfId="0" applyNumberFormat="1" applyFont="1" applyAlignment="1">
      <alignment horizontal="left" vertical="top"/>
    </xf>
    <xf numFmtId="0" fontId="16" fillId="0" borderId="0" xfId="0" applyFont="1"/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14" fontId="19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64" fontId="18" fillId="0" borderId="0" xfId="0" applyNumberFormat="1" applyFont="1" applyAlignment="1">
      <alignment horizontal="left"/>
    </xf>
    <xf numFmtId="2" fontId="18" fillId="0" borderId="0" xfId="0" applyNumberFormat="1" applyFont="1" applyAlignment="1">
      <alignment horizontal="left"/>
    </xf>
    <xf numFmtId="0" fontId="19" fillId="33" borderId="10" xfId="0" applyFont="1" applyFill="1" applyBorder="1" applyAlignment="1">
      <alignment horizontal="left" vertical="top"/>
    </xf>
    <xf numFmtId="164" fontId="19" fillId="33" borderId="11" xfId="0" applyNumberFormat="1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4" xfId="0" applyFont="1" applyFill="1" applyBorder="1" applyAlignment="1">
      <alignment horizontal="left"/>
    </xf>
    <xf numFmtId="165" fontId="19" fillId="33" borderId="13" xfId="0" applyNumberFormat="1" applyFont="1" applyFill="1" applyBorder="1" applyAlignment="1">
      <alignment horizontal="left" vertical="top"/>
    </xf>
    <xf numFmtId="2" fontId="19" fillId="33" borderId="13" xfId="0" applyNumberFormat="1" applyFont="1" applyFill="1" applyBorder="1" applyAlignment="1">
      <alignment horizontal="left" vertical="top"/>
    </xf>
    <xf numFmtId="9" fontId="19" fillId="33" borderId="13" xfId="42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6" fillId="33" borderId="0" xfId="0" applyFont="1" applyFill="1" applyAlignment="1">
      <alignment vertical="top" wrapText="1"/>
    </xf>
    <xf numFmtId="0" fontId="18" fillId="0" borderId="0" xfId="0" applyFont="1"/>
    <xf numFmtId="165" fontId="18" fillId="0" borderId="0" xfId="0" applyNumberFormat="1" applyFont="1" applyAlignment="1">
      <alignment horizontal="left" vertical="top"/>
    </xf>
    <xf numFmtId="2" fontId="18" fillId="0" borderId="0" xfId="0" applyNumberFormat="1" applyFont="1" applyAlignment="1">
      <alignment horizontal="left" vertical="top"/>
    </xf>
    <xf numFmtId="2" fontId="18" fillId="0" borderId="0" xfId="42" applyNumberFormat="1" applyFont="1" applyAlignment="1">
      <alignment horizontal="left" vertical="top"/>
    </xf>
    <xf numFmtId="2" fontId="18" fillId="0" borderId="0" xfId="42" applyNumberFormat="1" applyFont="1" applyAlignment="1">
      <alignment horizontal="left"/>
    </xf>
    <xf numFmtId="2" fontId="18" fillId="0" borderId="0" xfId="0" applyNumberFormat="1" applyFont="1"/>
    <xf numFmtId="0" fontId="19" fillId="0" borderId="0" xfId="0" applyFont="1"/>
    <xf numFmtId="0" fontId="20" fillId="0" borderId="0" xfId="0" applyFont="1"/>
    <xf numFmtId="9" fontId="18" fillId="0" borderId="0" xfId="42" applyFont="1" applyAlignment="1">
      <alignment horizontal="left" vertical="top"/>
    </xf>
    <xf numFmtId="0" fontId="19" fillId="33" borderId="15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 Avg Return % 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val>
            <c:numRef>
              <c:f>Dashboard!$B$2:$B$7</c:f>
              <c:numCache>
                <c:formatCode>0.000</c:formatCode>
                <c:ptCount val="6"/>
                <c:pt idx="0">
                  <c:v>-1.388449283102146E-3</c:v>
                </c:pt>
                <c:pt idx="1">
                  <c:v>-1.0924764504707434E-3</c:v>
                </c:pt>
                <c:pt idx="2">
                  <c:v>1.8055531785580881E-3</c:v>
                </c:pt>
                <c:pt idx="3">
                  <c:v>-1.7188375681249568E-4</c:v>
                </c:pt>
                <c:pt idx="4">
                  <c:v>-1.2369748299413945E-3</c:v>
                </c:pt>
                <c:pt idx="5">
                  <c:v>1.6631824581018891E-3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E0000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Dashboard!$A$2:$A$7</c15:sqref>
                        </c15:formulaRef>
                      </c:ext>
                    </c:extLst>
                    <c:strCache>
                      <c:ptCount val="6"/>
                      <c:pt idx="0">
                        <c:v>KOTAK</c:v>
                      </c:pt>
                      <c:pt idx="1">
                        <c:v>HDFC</c:v>
                      </c:pt>
                      <c:pt idx="2">
                        <c:v>AXISBANK</c:v>
                      </c:pt>
                      <c:pt idx="3">
                        <c:v>ICICI</c:v>
                      </c:pt>
                      <c:pt idx="4">
                        <c:v>INDUS</c:v>
                      </c:pt>
                      <c:pt idx="5">
                        <c:v>SBI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4A4-4659-ABBD-DA16A5F6A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31546655"/>
        <c:axId val="1231540895"/>
      </c:barChart>
      <c:catAx>
        <c:axId val="123154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0895"/>
        <c:crosses val="autoZero"/>
        <c:auto val="1"/>
        <c:lblAlgn val="ctr"/>
        <c:lblOffset val="100"/>
        <c:noMultiLvlLbl val="0"/>
      </c:catAx>
      <c:valAx>
        <c:axId val="12315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4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Dashboard!$H$1</c:f>
              <c:strCache>
                <c:ptCount val="1"/>
                <c:pt idx="0">
                  <c:v>Standard Deviation of Return 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Dashboard!$H$2:$H$7</c:f>
              <c:numCache>
                <c:formatCode>0.00</c:formatCode>
                <c:ptCount val="6"/>
                <c:pt idx="0">
                  <c:v>20.788194547715637</c:v>
                </c:pt>
                <c:pt idx="1">
                  <c:v>17.772453232447614</c:v>
                </c:pt>
                <c:pt idx="2">
                  <c:v>14.448316179456068</c:v>
                </c:pt>
                <c:pt idx="3">
                  <c:v>13.431929601142947</c:v>
                </c:pt>
                <c:pt idx="4">
                  <c:v>12.846178182942431</c:v>
                </c:pt>
                <c:pt idx="5">
                  <c:v>5.6140464037367162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Dashboard!$A$2:$A$7</c15:sqref>
                        </c15:formulaRef>
                      </c:ext>
                    </c:extLst>
                    <c:strCache>
                      <c:ptCount val="6"/>
                      <c:pt idx="0">
                        <c:v>KOTAK</c:v>
                      </c:pt>
                      <c:pt idx="1">
                        <c:v>HDFC</c:v>
                      </c:pt>
                      <c:pt idx="2">
                        <c:v>AXISBANK</c:v>
                      </c:pt>
                      <c:pt idx="3">
                        <c:v>ICICI</c:v>
                      </c:pt>
                      <c:pt idx="4">
                        <c:v>INDUS</c:v>
                      </c:pt>
                      <c:pt idx="5">
                        <c:v>SBI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84B-4E66-B658-0F0F5C98B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31526015"/>
        <c:axId val="1231550015"/>
      </c:barChart>
      <c:catAx>
        <c:axId val="123152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50015"/>
        <c:crosses val="autoZero"/>
        <c:auto val="1"/>
        <c:lblAlgn val="ctr"/>
        <c:lblOffset val="100"/>
        <c:noMultiLvlLbl val="0"/>
      </c:catAx>
      <c:valAx>
        <c:axId val="123155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Volatility (Standard Deviation of Daily Return %)</a:t>
                </a:r>
              </a:p>
            </c:rich>
          </c:tx>
          <c:layout>
            <c:manualLayout>
              <c:xMode val="edge"/>
              <c:yMode val="edge"/>
              <c:x val="0.16947134733158356"/>
              <c:y val="0.87763888888888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52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Risk vs Return (June 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Dashboard!$H$1</c:f>
              <c:strCache>
                <c:ptCount val="1"/>
                <c:pt idx="0">
                  <c:v>Standard Deviation of Return %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98CDA8F-A4C7-43D8-B621-DF1BD968A7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52D-4677-8962-2A56D10E46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4DE0533-F108-41AF-9FE7-0B2B26518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52D-4677-8962-2A56D10E46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7E94BB-F20D-4459-B59F-203A35C0E4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52D-4677-8962-2A56D10E46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23D61F5-3896-40A3-BF8A-E24AE8C5A3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52D-4677-8962-2A56D10E46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BBC654-9A23-4998-B4FE-ABD61D49C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52D-4677-8962-2A56D10E46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D3B9FB8-0F09-48C9-9A5D-AD645B055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52D-4677-8962-2A56D10E4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Dashboard!$A$2:$A$8</c:f>
              <c:strCache>
                <c:ptCount val="6"/>
                <c:pt idx="0">
                  <c:v>KOTAK</c:v>
                </c:pt>
                <c:pt idx="1">
                  <c:v>HDFC</c:v>
                </c:pt>
                <c:pt idx="2">
                  <c:v>AXISBANK</c:v>
                </c:pt>
                <c:pt idx="3">
                  <c:v>ICICI</c:v>
                </c:pt>
                <c:pt idx="4">
                  <c:v>INDUS</c:v>
                </c:pt>
                <c:pt idx="5">
                  <c:v>SBI</c:v>
                </c:pt>
              </c:strCache>
            </c:strRef>
          </c:xVal>
          <c:yVal>
            <c:numRef>
              <c:f>Dashboard!$H$2:$H$8</c:f>
              <c:numCache>
                <c:formatCode>0.00</c:formatCode>
                <c:ptCount val="7"/>
                <c:pt idx="0">
                  <c:v>20.788194547715637</c:v>
                </c:pt>
                <c:pt idx="1">
                  <c:v>17.772453232447614</c:v>
                </c:pt>
                <c:pt idx="2">
                  <c:v>14.448316179456068</c:v>
                </c:pt>
                <c:pt idx="3">
                  <c:v>13.431929601142947</c:v>
                </c:pt>
                <c:pt idx="4">
                  <c:v>12.846178182942431</c:v>
                </c:pt>
                <c:pt idx="5">
                  <c:v>5.6140464037367162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Dashboard!$A$1:$A$7</c15:f>
                <c15:dlblRangeCache>
                  <c:ptCount val="7"/>
                  <c:pt idx="0">
                    <c:v> Bank </c:v>
                  </c:pt>
                  <c:pt idx="1">
                    <c:v>KOTAK</c:v>
                  </c:pt>
                  <c:pt idx="2">
                    <c:v>HDFC</c:v>
                  </c:pt>
                  <c:pt idx="3">
                    <c:v>AXISBANK</c:v>
                  </c:pt>
                  <c:pt idx="4">
                    <c:v>ICICI</c:v>
                  </c:pt>
                  <c:pt idx="5">
                    <c:v>INDUS</c:v>
                  </c:pt>
                  <c:pt idx="6">
                    <c:v>SBI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52D-4677-8962-2A56D10E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85599"/>
        <c:axId val="800889439"/>
      </c:scatterChart>
      <c:valAx>
        <c:axId val="80088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Risk (Standard Deviation of Returns)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89439"/>
        <c:crosses val="autoZero"/>
        <c:crossBetween val="midCat"/>
      </c:valAx>
      <c:valAx>
        <c:axId val="80088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Return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8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72672</xdr:colOff>
      <xdr:row>8</xdr:row>
      <xdr:rowOff>154327</xdr:rowOff>
    </xdr:from>
    <xdr:to>
      <xdr:col>5</xdr:col>
      <xdr:colOff>124556</xdr:colOff>
      <xdr:row>23</xdr:row>
      <xdr:rowOff>40027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7C6CA0-38D1-39AA-EE5D-CED85839C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269562</xdr:colOff>
      <xdr:row>8</xdr:row>
      <xdr:rowOff>166329</xdr:rowOff>
    </xdr:from>
    <xdr:to>
      <xdr:col>8</xdr:col>
      <xdr:colOff>45179</xdr:colOff>
      <xdr:row>23</xdr:row>
      <xdr:rowOff>52029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F607ED-4759-41D1-8635-052CA91F9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191518</xdr:colOff>
      <xdr:row>9</xdr:row>
      <xdr:rowOff>4468</xdr:rowOff>
    </xdr:from>
    <xdr:to>
      <xdr:col>16</xdr:col>
      <xdr:colOff>49844</xdr:colOff>
      <xdr:row>23</xdr:row>
      <xdr:rowOff>80668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109266-7384-7E99-9ECF-114479C89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D812-0170-41BA-AFF5-2C48554C6657}">
  <dimension ref="A1:L7"/>
  <sheetViews>
    <sheetView workbookViewId="0">
      <selection sqref="A1:I7"/>
    </sheetView>
  </sheetViews>
  <sheetFormatPr defaultRowHeight="15" x14ac:dyDescent="0.25"/>
  <cols>
    <col min="1" max="1" width="10.42578125" style="3" bestFit="1" customWidth="1"/>
    <col min="2" max="2" width="13.85546875" style="3" bestFit="1" customWidth="1"/>
    <col min="3" max="3" width="12.140625" style="3" bestFit="1" customWidth="1"/>
    <col min="4" max="4" width="12.28515625" style="3" bestFit="1" customWidth="1"/>
    <col min="5" max="5" width="15.85546875" style="3" bestFit="1" customWidth="1"/>
    <col min="6" max="6" width="14" style="3" bestFit="1" customWidth="1"/>
    <col min="7" max="7" width="22.28515625" style="3" bestFit="1" customWidth="1"/>
    <col min="8" max="8" width="25.85546875" style="3" bestFit="1" customWidth="1"/>
    <col min="9" max="9" width="11.140625" style="3" bestFit="1" customWidth="1"/>
    <col min="10" max="12" width="9.140625" style="3"/>
  </cols>
  <sheetData>
    <row r="1" spans="1:9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6" t="s">
        <v>37</v>
      </c>
      <c r="I1" s="4" t="s">
        <v>38</v>
      </c>
    </row>
    <row r="2" spans="1:9" x14ac:dyDescent="0.25">
      <c r="A2" s="3" t="s">
        <v>36</v>
      </c>
      <c r="B2" s="20" cm="1">
        <f t="array" aca="1" ref="B2" ca="1">INDIRECT($A2&amp;"!N4")</f>
        <v>1.8055531785580881E-3</v>
      </c>
      <c r="C2" s="20" cm="1">
        <f t="array" aca="1" ref="C2" ca="1">INDIRECT(SUBSTITUTE(A2," ","")&amp;"!N5")</f>
        <v>1.8048760543651066</v>
      </c>
      <c r="D2" s="20" cm="1">
        <f t="array" aca="1" ref="D2" ca="1">INDIRECT(SUBSTITUTE(A2," ","")&amp;"!N7")</f>
        <v>-35.699951171869998</v>
      </c>
      <c r="E2" s="21" cm="1">
        <f t="array" aca="1" ref="E2" ca="1">INDIRECT(SUBSTITUTE(A2," ","")&amp;"!N5")</f>
        <v>1.8048760543651066</v>
      </c>
      <c r="F2" s="27" cm="1">
        <f t="array" aca="1" ref="F2" ca="1">INDIRECT(SUBSTITUTE(A2," ","")&amp;"!N9")</f>
        <v>0.5714285714285714</v>
      </c>
      <c r="G2" s="3" cm="1">
        <f t="array" aca="1" ref="G2" ca="1">INDIRECT(SUBSTITUTE(A2," ","")&amp;"!N10")</f>
        <v>14</v>
      </c>
      <c r="H2" s="21" cm="1">
        <f t="array" aca="1" ref="H2" ca="1">INDIRECT(SUBSTITUTE(A2," ","")&amp;"!N11")</f>
        <v>14.448316179456068</v>
      </c>
      <c r="I2" s="21">
        <f ca="1">1/H2</f>
        <v>6.9212217367023779E-2</v>
      </c>
    </row>
    <row r="3" spans="1:9" x14ac:dyDescent="0.25">
      <c r="A3" s="3" t="s">
        <v>31</v>
      </c>
      <c r="B3" s="20" cm="1">
        <f t="array" aca="1" ref="B3" ca="1">INDIRECT($A3&amp;"!N4")</f>
        <v>-1.0924764504707434E-3</v>
      </c>
      <c r="C3" s="20" cm="1">
        <f t="array" aca="1" ref="C3" ca="1">INDIRECT(SUBSTITUTE(A3," ","")&amp;"!N5")</f>
        <v>1.2877981470222828</v>
      </c>
      <c r="D3" s="20" cm="1">
        <f t="array" aca="1" ref="D3" ca="1">INDIRECT(SUBSTITUTE(A3," ","")&amp;"!N7")</f>
        <v>-39.960415889160004</v>
      </c>
      <c r="E3" s="21" cm="1">
        <f t="array" aca="1" ref="E3" ca="1">INDIRECT(SUBSTITUTE(A3," ","")&amp;"!N5")</f>
        <v>1.2877981470222828</v>
      </c>
      <c r="F3" s="27" cm="1">
        <f t="array" aca="1" ref="F3" ca="1">INDIRECT(SUBSTITUTE(A3," ","")&amp;"!N9")</f>
        <v>0.42857142857142855</v>
      </c>
      <c r="G3" s="3" cm="1">
        <f t="array" aca="1" ref="G3" ca="1">INDIRECT(SUBSTITUTE(A3," ","")&amp;"!N10")</f>
        <v>11</v>
      </c>
      <c r="H3" s="21" cm="1">
        <f t="array" aca="1" ref="H3" ca="1">INDIRECT(SUBSTITUTE(A3," ","")&amp;"!N11")</f>
        <v>17.772453232447614</v>
      </c>
      <c r="I3" s="21">
        <f t="shared" ref="I3:I7" ca="1" si="0">1/H3</f>
        <v>5.6266852241550702E-2</v>
      </c>
    </row>
    <row r="4" spans="1:9" x14ac:dyDescent="0.25">
      <c r="A4" s="3" t="s">
        <v>32</v>
      </c>
      <c r="B4" s="20" cm="1">
        <f t="array" aca="1" ref="B4" ca="1">INDIRECT($A4&amp;"!N4")</f>
        <v>-1.7188375681249568E-4</v>
      </c>
      <c r="C4" s="20" cm="1">
        <f t="array" aca="1" ref="C4" ca="1">INDIRECT(SUBSTITUTE(A4," ","")&amp;"!N5")</f>
        <v>1.4128678639129779</v>
      </c>
      <c r="D4" s="20" cm="1">
        <f t="array" aca="1" ref="D4" ca="1">INDIRECT(SUBSTITUTE(A4," ","")&amp;"!N7")</f>
        <v>-23.900024414059999</v>
      </c>
      <c r="E4" s="21" cm="1">
        <f t="array" aca="1" ref="E4" ca="1">INDIRECT(SUBSTITUTE(A4," ","")&amp;"!N5")</f>
        <v>1.4128678639129779</v>
      </c>
      <c r="F4" s="27" cm="1">
        <f t="array" aca="1" ref="F4" ca="1">INDIRECT(SUBSTITUTE(A4," ","")&amp;"!N9")</f>
        <v>0.47619047619047616</v>
      </c>
      <c r="G4" s="3" cm="1">
        <f t="array" aca="1" ref="G4" ca="1">INDIRECT(SUBSTITUTE(A4," ","")&amp;"!N10")</f>
        <v>12</v>
      </c>
      <c r="H4" s="21" cm="1">
        <f t="array" aca="1" ref="H4" ca="1">INDIRECT(SUBSTITUTE(A4," ","")&amp;"!N11")</f>
        <v>13.431929601142947</v>
      </c>
      <c r="I4" s="21">
        <f t="shared" ca="1" si="0"/>
        <v>7.444946703077629E-2</v>
      </c>
    </row>
    <row r="5" spans="1:9" x14ac:dyDescent="0.25">
      <c r="A5" s="3" t="s">
        <v>33</v>
      </c>
      <c r="B5" s="20" cm="1">
        <f t="array" aca="1" ref="B5" ca="1">INDIRECT($A5&amp;"!N4")</f>
        <v>-1.2369748299413945E-3</v>
      </c>
      <c r="C5" s="20" cm="1">
        <f t="array" aca="1" ref="C5" ca="1">INDIRECT(SUBSTITUTE(A5," ","")&amp;"!N5")</f>
        <v>2.592205864890003</v>
      </c>
      <c r="D5" s="20" cm="1">
        <f t="array" aca="1" ref="D5" ca="1">INDIRECT(SUBSTITUTE(A5," ","")&amp;"!N7")</f>
        <v>-32.450012207032046</v>
      </c>
      <c r="E5" s="21" cm="1">
        <f t="array" aca="1" ref="E5" ca="1">INDIRECT(SUBSTITUTE(A5," ","")&amp;"!N5")</f>
        <v>2.592205864890003</v>
      </c>
      <c r="F5" s="27" cm="1">
        <f t="array" aca="1" ref="F5" ca="1">INDIRECT(SUBSTITUTE(A5," ","")&amp;"!N9")</f>
        <v>0.42857142857142855</v>
      </c>
      <c r="G5" s="3" cm="1">
        <f t="array" aca="1" ref="G5" ca="1">INDIRECT(SUBSTITUTE(A5," ","")&amp;"!N10")</f>
        <v>10</v>
      </c>
      <c r="H5" s="21" cm="1">
        <f t="array" aca="1" ref="H5" ca="1">INDIRECT(SUBSTITUTE(A5," ","")&amp;"!N11")</f>
        <v>12.846178182942431</v>
      </c>
      <c r="I5" s="21">
        <f t="shared" ca="1" si="0"/>
        <v>7.7844163902991176E-2</v>
      </c>
    </row>
    <row r="6" spans="1:9" x14ac:dyDescent="0.25">
      <c r="A6" s="3" t="s">
        <v>34</v>
      </c>
      <c r="B6" s="20" cm="1">
        <f t="array" aca="1" ref="B6" ca="1">INDIRECT($A6&amp;"!N4")</f>
        <v>-1.388449283102146E-3</v>
      </c>
      <c r="C6" s="20" cm="1">
        <f t="array" aca="1" ref="C6" ca="1">INDIRECT(SUBSTITUTE(A6," ","")&amp;"!N5")</f>
        <v>1.6811803910712078</v>
      </c>
      <c r="D6" s="20" cm="1">
        <f t="array" aca="1" ref="D6" ca="1">INDIRECT(SUBSTITUTE(A6," ","")&amp;"!N7")</f>
        <v>-35.39990234375</v>
      </c>
      <c r="E6" s="21" cm="1">
        <f t="array" aca="1" ref="E6" ca="1">INDIRECT(SUBSTITUTE(A6," ","")&amp;"!N5")</f>
        <v>1.6811803910712078</v>
      </c>
      <c r="F6" s="27" cm="1">
        <f t="array" aca="1" ref="F6" ca="1">INDIRECT(SUBSTITUTE(A6," ","")&amp;"!N9")</f>
        <v>0.42857142857142855</v>
      </c>
      <c r="G6" s="3" cm="1">
        <f t="array" aca="1" ref="G6" ca="1">INDIRECT(SUBSTITUTE(A6," ","")&amp;"!N10")</f>
        <v>11</v>
      </c>
      <c r="H6" s="21" cm="1">
        <f t="array" aca="1" ref="H6" ca="1">INDIRECT(SUBSTITUTE(A6," ","")&amp;"!N11")</f>
        <v>20.788194547715637</v>
      </c>
      <c r="I6" s="21">
        <f t="shared" ca="1" si="0"/>
        <v>4.8104225583644418E-2</v>
      </c>
    </row>
    <row r="7" spans="1:9" x14ac:dyDescent="0.25">
      <c r="A7" s="3" t="s">
        <v>35</v>
      </c>
      <c r="B7" s="20" cm="1">
        <f t="array" aca="1" ref="B7" ca="1">INDIRECT($A7&amp;"!N4")</f>
        <v>1.6631824581018891E-3</v>
      </c>
      <c r="C7" s="20" cm="1">
        <f t="array" aca="1" ref="C7" ca="1">INDIRECT(SUBSTITUTE(A7," ","")&amp;"!N5")</f>
        <v>1.3012579618490037</v>
      </c>
      <c r="D7" s="20" cm="1">
        <f t="array" aca="1" ref="D7" ca="1">INDIRECT(SUBSTITUTE(A7," ","")&amp;"!N7")</f>
        <v>-11.349975585937045</v>
      </c>
      <c r="E7" s="21" cm="1">
        <f t="array" aca="1" ref="E7" ca="1">INDIRECT(SUBSTITUTE(A7," ","")&amp;"!N5")</f>
        <v>1.3012579618490037</v>
      </c>
      <c r="F7" s="27" cm="1">
        <f t="array" aca="1" ref="F7" ca="1">INDIRECT(SUBSTITUTE(A7," ","")&amp;"!N9")</f>
        <v>0.52380952380952384</v>
      </c>
      <c r="G7" s="3" cm="1">
        <f t="array" aca="1" ref="G7" ca="1">INDIRECT(SUBSTITUTE(A7," ","")&amp;"!N10")</f>
        <v>13</v>
      </c>
      <c r="H7" s="21" cm="1">
        <f t="array" aca="1" ref="H7" ca="1">INDIRECT(SUBSTITUTE(A7," ","")&amp;"!N11")</f>
        <v>5.6140464037367162</v>
      </c>
      <c r="I7" s="21">
        <f t="shared" ca="1" si="0"/>
        <v>0.17812464096028824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0E57-6C33-4985-A7B7-81D730FB33E9}">
  <dimension ref="A1:I7"/>
  <sheetViews>
    <sheetView zoomScale="85" zoomScaleNormal="85" workbookViewId="0">
      <selection activeCell="S16" sqref="S16"/>
    </sheetView>
  </sheetViews>
  <sheetFormatPr defaultRowHeight="15" x14ac:dyDescent="0.25"/>
  <cols>
    <col min="1" max="1" width="9.7109375" bestFit="1" customWidth="1"/>
    <col min="2" max="2" width="15.140625" bestFit="1" customWidth="1"/>
    <col min="3" max="3" width="12.85546875" bestFit="1" customWidth="1"/>
    <col min="4" max="4" width="12.42578125" bestFit="1" customWidth="1"/>
    <col min="5" max="5" width="17" bestFit="1" customWidth="1"/>
    <col min="6" max="6" width="15.5703125" bestFit="1" customWidth="1"/>
    <col min="7" max="7" width="23" bestFit="1" customWidth="1"/>
    <col min="8" max="8" width="31.42578125" bestFit="1" customWidth="1"/>
    <col min="9" max="9" width="15.28515625" bestFit="1" customWidth="1"/>
    <col min="11" max="11" width="0" hidden="1" customWidth="1"/>
  </cols>
  <sheetData>
    <row r="1" spans="1:9" x14ac:dyDescent="0.2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6" t="s">
        <v>37</v>
      </c>
      <c r="I1" s="4" t="s">
        <v>38</v>
      </c>
    </row>
    <row r="2" spans="1:9" x14ac:dyDescent="0.25">
      <c r="A2" s="3" t="s">
        <v>34</v>
      </c>
      <c r="B2" s="20" cm="1">
        <f t="array" aca="1" ref="B2" ca="1">INDIRECT($A2&amp;"!N4")</f>
        <v>-1.388449283102146E-3</v>
      </c>
      <c r="C2" s="20" cm="1">
        <f t="array" aca="1" ref="C2" ca="1">INDIRECT(SUBSTITUTE(A2," ","")&amp;"!N5")</f>
        <v>1.6811803910712078</v>
      </c>
      <c r="D2" s="20" cm="1">
        <f t="array" aca="1" ref="D2" ca="1">INDIRECT(SUBSTITUTE(A2," ","")&amp;"!N7")</f>
        <v>-35.39990234375</v>
      </c>
      <c r="E2" s="21" cm="1">
        <f t="array" aca="1" ref="E2" ca="1">INDIRECT(SUBSTITUTE(A2," ","")&amp;"!N5")</f>
        <v>1.6811803910712078</v>
      </c>
      <c r="F2" s="27" cm="1">
        <f t="array" aca="1" ref="F2" ca="1">INDIRECT(SUBSTITUTE(A2," ","")&amp;"!N9")</f>
        <v>0.42857142857142855</v>
      </c>
      <c r="G2" s="3" cm="1">
        <f t="array" aca="1" ref="G2" ca="1">INDIRECT(SUBSTITUTE(A2," ","")&amp;"!N10")</f>
        <v>11</v>
      </c>
      <c r="H2" s="21" cm="1">
        <f t="array" aca="1" ref="H2" ca="1">INDIRECT(SUBSTITUTE(A2," ","")&amp;"!N11")</f>
        <v>20.788194547715637</v>
      </c>
      <c r="I2" s="21">
        <f t="shared" ref="I2:I7" ca="1" si="0">1/H2</f>
        <v>4.8104225583644418E-2</v>
      </c>
    </row>
    <row r="3" spans="1:9" x14ac:dyDescent="0.25">
      <c r="A3" s="3" t="s">
        <v>31</v>
      </c>
      <c r="B3" s="20" cm="1">
        <f t="array" aca="1" ref="B3" ca="1">INDIRECT($A3&amp;"!N4")</f>
        <v>-1.0924764504707434E-3</v>
      </c>
      <c r="C3" s="20" cm="1">
        <f t="array" aca="1" ref="C3" ca="1">INDIRECT(SUBSTITUTE(A3," ","")&amp;"!N5")</f>
        <v>1.2877981470222828</v>
      </c>
      <c r="D3" s="20" cm="1">
        <f t="array" aca="1" ref="D3" ca="1">INDIRECT(SUBSTITUTE(A3," ","")&amp;"!N7")</f>
        <v>-39.960415889160004</v>
      </c>
      <c r="E3" s="21" cm="1">
        <f t="array" aca="1" ref="E3" ca="1">INDIRECT(SUBSTITUTE(A3," ","")&amp;"!N5")</f>
        <v>1.2877981470222828</v>
      </c>
      <c r="F3" s="27" cm="1">
        <f t="array" aca="1" ref="F3" ca="1">INDIRECT(SUBSTITUTE(A3," ","")&amp;"!N9")</f>
        <v>0.42857142857142855</v>
      </c>
      <c r="G3" s="3" cm="1">
        <f t="array" aca="1" ref="G3" ca="1">INDIRECT(SUBSTITUTE(A3," ","")&amp;"!N10")</f>
        <v>11</v>
      </c>
      <c r="H3" s="21" cm="1">
        <f t="array" aca="1" ref="H3" ca="1">INDIRECT(SUBSTITUTE(A3," ","")&amp;"!N11")</f>
        <v>17.772453232447614</v>
      </c>
      <c r="I3" s="21">
        <f t="shared" ca="1" si="0"/>
        <v>5.6266852241550702E-2</v>
      </c>
    </row>
    <row r="4" spans="1:9" x14ac:dyDescent="0.25">
      <c r="A4" s="3" t="s">
        <v>36</v>
      </c>
      <c r="B4" s="20" cm="1">
        <f t="array" aca="1" ref="B4" ca="1">INDIRECT($A4&amp;"!N4")</f>
        <v>1.8055531785580881E-3</v>
      </c>
      <c r="C4" s="20" cm="1">
        <f t="array" aca="1" ref="C4" ca="1">INDIRECT(SUBSTITUTE(A4," ","")&amp;"!N5")</f>
        <v>1.8048760543651066</v>
      </c>
      <c r="D4" s="20" cm="1">
        <f t="array" aca="1" ref="D4" ca="1">INDIRECT(SUBSTITUTE(A4," ","")&amp;"!N7")</f>
        <v>-35.699951171869998</v>
      </c>
      <c r="E4" s="21" cm="1">
        <f t="array" aca="1" ref="E4" ca="1">INDIRECT(SUBSTITUTE(A4," ","")&amp;"!N5")</f>
        <v>1.8048760543651066</v>
      </c>
      <c r="F4" s="27" cm="1">
        <f t="array" aca="1" ref="F4" ca="1">INDIRECT(SUBSTITUTE(A4," ","")&amp;"!N9")</f>
        <v>0.5714285714285714</v>
      </c>
      <c r="G4" s="3" cm="1">
        <f t="array" aca="1" ref="G4" ca="1">INDIRECT(SUBSTITUTE(A4," ","")&amp;"!N10")</f>
        <v>14</v>
      </c>
      <c r="H4" s="21" cm="1">
        <f t="array" aca="1" ref="H4" ca="1">INDIRECT(SUBSTITUTE(A4," ","")&amp;"!N11")</f>
        <v>14.448316179456068</v>
      </c>
      <c r="I4" s="21">
        <f t="shared" ca="1" si="0"/>
        <v>6.9212217367023779E-2</v>
      </c>
    </row>
    <row r="5" spans="1:9" x14ac:dyDescent="0.25">
      <c r="A5" s="3" t="s">
        <v>32</v>
      </c>
      <c r="B5" s="20" cm="1">
        <f t="array" aca="1" ref="B5" ca="1">INDIRECT($A5&amp;"!N4")</f>
        <v>-1.7188375681249568E-4</v>
      </c>
      <c r="C5" s="20" cm="1">
        <f t="array" aca="1" ref="C5" ca="1">INDIRECT(SUBSTITUTE(A5," ","")&amp;"!N5")</f>
        <v>1.4128678639129779</v>
      </c>
      <c r="D5" s="20" cm="1">
        <f t="array" aca="1" ref="D5" ca="1">INDIRECT(SUBSTITUTE(A5," ","")&amp;"!N7")</f>
        <v>-23.900024414059999</v>
      </c>
      <c r="E5" s="21" cm="1">
        <f t="array" aca="1" ref="E5" ca="1">INDIRECT(SUBSTITUTE(A5," ","")&amp;"!N5")</f>
        <v>1.4128678639129779</v>
      </c>
      <c r="F5" s="27" cm="1">
        <f t="array" aca="1" ref="F5" ca="1">INDIRECT(SUBSTITUTE(A5," ","")&amp;"!N9")</f>
        <v>0.47619047619047616</v>
      </c>
      <c r="G5" s="3" cm="1">
        <f t="array" aca="1" ref="G5" ca="1">INDIRECT(SUBSTITUTE(A5," ","")&amp;"!N10")</f>
        <v>12</v>
      </c>
      <c r="H5" s="21" cm="1">
        <f t="array" aca="1" ref="H5" ca="1">INDIRECT(SUBSTITUTE(A5," ","")&amp;"!N11")</f>
        <v>13.431929601142947</v>
      </c>
      <c r="I5" s="21">
        <f t="shared" ca="1" si="0"/>
        <v>7.444946703077629E-2</v>
      </c>
    </row>
    <row r="6" spans="1:9" x14ac:dyDescent="0.25">
      <c r="A6" s="3" t="s">
        <v>33</v>
      </c>
      <c r="B6" s="20" cm="1">
        <f t="array" aca="1" ref="B6" ca="1">INDIRECT($A6&amp;"!N4")</f>
        <v>-1.2369748299413945E-3</v>
      </c>
      <c r="C6" s="20" cm="1">
        <f t="array" aca="1" ref="C6" ca="1">INDIRECT(SUBSTITUTE(A6," ","")&amp;"!N5")</f>
        <v>2.592205864890003</v>
      </c>
      <c r="D6" s="20" cm="1">
        <f t="array" aca="1" ref="D6" ca="1">INDIRECT(SUBSTITUTE(A6," ","")&amp;"!N7")</f>
        <v>-32.450012207032046</v>
      </c>
      <c r="E6" s="21" cm="1">
        <f t="array" aca="1" ref="E6" ca="1">INDIRECT(SUBSTITUTE(A6," ","")&amp;"!N5")</f>
        <v>2.592205864890003</v>
      </c>
      <c r="F6" s="27" cm="1">
        <f t="array" aca="1" ref="F6" ca="1">INDIRECT(SUBSTITUTE(A6," ","")&amp;"!N9")</f>
        <v>0.42857142857142855</v>
      </c>
      <c r="G6" s="3" cm="1">
        <f t="array" aca="1" ref="G6" ca="1">INDIRECT(SUBSTITUTE(A6," ","")&amp;"!N10")</f>
        <v>10</v>
      </c>
      <c r="H6" s="21" cm="1">
        <f t="array" aca="1" ref="H6" ca="1">INDIRECT(SUBSTITUTE(A6," ","")&amp;"!N11")</f>
        <v>12.846178182942431</v>
      </c>
      <c r="I6" s="21">
        <f t="shared" ca="1" si="0"/>
        <v>7.7844163902991176E-2</v>
      </c>
    </row>
    <row r="7" spans="1:9" x14ac:dyDescent="0.25">
      <c r="A7" s="3" t="s">
        <v>35</v>
      </c>
      <c r="B7" s="20" cm="1">
        <f t="array" aca="1" ref="B7" ca="1">INDIRECT($A7&amp;"!N4")</f>
        <v>1.6631824581018891E-3</v>
      </c>
      <c r="C7" s="20" cm="1">
        <f t="array" aca="1" ref="C7" ca="1">INDIRECT(SUBSTITUTE(A7," ","")&amp;"!N5")</f>
        <v>1.3012579618490037</v>
      </c>
      <c r="D7" s="20" cm="1">
        <f t="array" aca="1" ref="D7" ca="1">INDIRECT(SUBSTITUTE(A7," ","")&amp;"!N7")</f>
        <v>-11.349975585937045</v>
      </c>
      <c r="E7" s="21" cm="1">
        <f t="array" aca="1" ref="E7" ca="1">INDIRECT(SUBSTITUTE(A7," ","")&amp;"!N5")</f>
        <v>1.3012579618490037</v>
      </c>
      <c r="F7" s="27" cm="1">
        <f t="array" aca="1" ref="F7" ca="1">INDIRECT(SUBSTITUTE(A7," ","")&amp;"!N9")</f>
        <v>0.52380952380952384</v>
      </c>
      <c r="G7" s="3" cm="1">
        <f t="array" aca="1" ref="G7" ca="1">INDIRECT(SUBSTITUTE(A7," ","")&amp;"!N10")</f>
        <v>13</v>
      </c>
      <c r="H7" s="21" cm="1">
        <f t="array" aca="1" ref="H7" ca="1">INDIRECT(SUBSTITUTE(A7," ","")&amp;"!N11")</f>
        <v>5.6140464037367162</v>
      </c>
      <c r="I7" s="21">
        <f t="shared" ca="1" si="0"/>
        <v>0.17812464096028824</v>
      </c>
    </row>
  </sheetData>
  <sortState xmlns:xlrd2="http://schemas.microsoft.com/office/spreadsheetml/2017/richdata2" ref="A2:I7">
    <sortCondition descending="1" ref="H2:H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6473-C8B1-4024-80E7-D891EBE1AE29}">
  <dimension ref="A1:AD35"/>
  <sheetViews>
    <sheetView zoomScaleNormal="100" workbookViewId="0">
      <selection activeCell="B4" sqref="B4"/>
    </sheetView>
  </sheetViews>
  <sheetFormatPr defaultRowHeight="15" x14ac:dyDescent="0.25"/>
  <cols>
    <col min="1" max="1" width="8.42578125" style="4" bestFit="1" customWidth="1"/>
    <col min="2" max="6" width="10.85546875" style="3" bestFit="1" customWidth="1"/>
    <col min="7" max="7" width="13.5703125" style="7" bestFit="1" customWidth="1"/>
    <col min="8" max="8" width="4.5703125" style="7" hidden="1" customWidth="1"/>
    <col min="9" max="9" width="13.5703125" style="7" bestFit="1" customWidth="1"/>
    <col min="10" max="10" width="11.85546875" style="7" bestFit="1" customWidth="1"/>
    <col min="11" max="11" width="10.85546875" style="7" bestFit="1" customWidth="1"/>
    <col min="12" max="12" width="9.28515625" style="7" bestFit="1" customWidth="1"/>
    <col min="13" max="13" width="25.7109375" style="7" bestFit="1" customWidth="1"/>
    <col min="14" max="23" width="9.7109375" style="7" bestFit="1" customWidth="1"/>
    <col min="24" max="27" width="9.7109375" bestFit="1" customWidth="1"/>
    <col min="28" max="30" width="9.28515625" bestFit="1" customWidth="1"/>
  </cols>
  <sheetData>
    <row r="1" spans="1:30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14</v>
      </c>
      <c r="H1" s="4"/>
      <c r="I1" s="4" t="s">
        <v>14</v>
      </c>
      <c r="J1" s="4" t="s">
        <v>15</v>
      </c>
      <c r="K1" s="5" t="s">
        <v>16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1"/>
      <c r="Y1" s="1"/>
      <c r="Z1" s="1"/>
      <c r="AA1" s="1"/>
      <c r="AB1" s="1"/>
      <c r="AC1" s="1"/>
      <c r="AD1" s="1"/>
    </row>
    <row r="2" spans="1:30" s="2" customFormat="1" hidden="1" x14ac:dyDescent="0.25">
      <c r="A2" s="4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/>
      <c r="I2" s="4" t="s">
        <v>7</v>
      </c>
      <c r="J2" s="4" t="s">
        <v>7</v>
      </c>
      <c r="K2" s="4" t="s">
        <v>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30" ht="15.75" thickBot="1" x14ac:dyDescent="0.3">
      <c r="A3" s="4" t="s">
        <v>8</v>
      </c>
    </row>
    <row r="4" spans="1:30" x14ac:dyDescent="0.25">
      <c r="A4" s="5">
        <v>45811</v>
      </c>
      <c r="B4" s="21">
        <v>1181.5</v>
      </c>
      <c r="C4" s="21">
        <v>1198.90002441406</v>
      </c>
      <c r="D4" s="21">
        <v>1174.90002441406</v>
      </c>
      <c r="E4" s="21">
        <v>1195</v>
      </c>
      <c r="F4" s="21">
        <v>8155665</v>
      </c>
      <c r="G4" s="9">
        <f>E4-B4</f>
        <v>13.5</v>
      </c>
      <c r="H4" s="24">
        <f>IF(G4&gt;0, 1, 0)</f>
        <v>1</v>
      </c>
      <c r="I4" s="23">
        <f>G4/E4</f>
        <v>1.1297071129707114E-2</v>
      </c>
      <c r="J4" s="9">
        <f>C4-D4</f>
        <v>24</v>
      </c>
      <c r="K4" s="9">
        <f>J4/E4*100</f>
        <v>2.00836820083682</v>
      </c>
      <c r="M4" s="10" t="s">
        <v>17</v>
      </c>
      <c r="N4" s="11">
        <f>AVERAGE(I4:I26)</f>
        <v>1.8055531785580881E-3</v>
      </c>
    </row>
    <row r="5" spans="1:30" x14ac:dyDescent="0.25">
      <c r="A5" s="5">
        <v>45812</v>
      </c>
      <c r="B5" s="21">
        <v>1171</v>
      </c>
      <c r="C5" s="21">
        <v>1191.30004882812</v>
      </c>
      <c r="D5" s="21">
        <v>1168.59997558593</v>
      </c>
      <c r="E5" s="21">
        <v>1181.80004882812</v>
      </c>
      <c r="F5" s="21">
        <v>4306355</v>
      </c>
      <c r="G5" s="9">
        <f t="shared" ref="G5:G26" si="0">E5-B5</f>
        <v>10.800048828119998</v>
      </c>
      <c r="H5" s="24">
        <f t="shared" ref="H5:H26" si="1">IF(G5&gt;0, 1, 0)</f>
        <v>1</v>
      </c>
      <c r="I5" s="23">
        <f t="shared" ref="I5:I26" si="2">G5/E5</f>
        <v>9.1386430714987619E-3</v>
      </c>
      <c r="J5" s="9">
        <f t="shared" ref="J5:J26" si="3">C5-D5</f>
        <v>22.700073242190001</v>
      </c>
      <c r="K5" s="9">
        <f t="shared" ref="K5:K26" si="4">J5/E5*100</f>
        <v>1.920804899669748</v>
      </c>
      <c r="M5" s="12" t="s">
        <v>18</v>
      </c>
      <c r="N5" s="14">
        <f>AVERAGE(K4:K26)</f>
        <v>1.8048760543651066</v>
      </c>
    </row>
    <row r="6" spans="1:30" x14ac:dyDescent="0.25">
      <c r="A6" s="5">
        <v>45813</v>
      </c>
      <c r="B6" s="21">
        <v>1159</v>
      </c>
      <c r="C6" s="21">
        <v>1175.5</v>
      </c>
      <c r="D6" s="21">
        <v>1157</v>
      </c>
      <c r="E6" s="21">
        <v>1172.5</v>
      </c>
      <c r="F6" s="21">
        <v>10481600</v>
      </c>
      <c r="G6" s="9">
        <f t="shared" si="0"/>
        <v>13.5</v>
      </c>
      <c r="H6" s="24">
        <f t="shared" si="1"/>
        <v>1</v>
      </c>
      <c r="I6" s="23">
        <f t="shared" si="2"/>
        <v>1.1513859275053304E-2</v>
      </c>
      <c r="J6" s="9">
        <f t="shared" si="3"/>
        <v>18.5</v>
      </c>
      <c r="K6" s="9">
        <f t="shared" si="4"/>
        <v>1.5778251599147122</v>
      </c>
      <c r="M6" s="12" t="s">
        <v>19</v>
      </c>
      <c r="N6" s="14">
        <f>MAX(G4:G26)</f>
        <v>29.700073242190001</v>
      </c>
    </row>
    <row r="7" spans="1:30" x14ac:dyDescent="0.25">
      <c r="A7" s="5">
        <v>45814</v>
      </c>
      <c r="B7" s="21">
        <v>1194.59997558593</v>
      </c>
      <c r="C7" s="21">
        <v>1201.19995117187</v>
      </c>
      <c r="D7" s="21">
        <v>1151.19995117187</v>
      </c>
      <c r="E7" s="21">
        <v>1158.90002441406</v>
      </c>
      <c r="F7" s="21">
        <v>14715421</v>
      </c>
      <c r="G7" s="9">
        <f t="shared" si="0"/>
        <v>-35.699951171869998</v>
      </c>
      <c r="H7" s="24">
        <f t="shared" si="1"/>
        <v>0</v>
      </c>
      <c r="I7" s="23">
        <f t="shared" si="2"/>
        <v>-3.0805030994731315E-2</v>
      </c>
      <c r="J7" s="9">
        <f t="shared" si="3"/>
        <v>50</v>
      </c>
      <c r="K7" s="9">
        <f t="shared" si="4"/>
        <v>4.3144360123108987</v>
      </c>
      <c r="M7" s="12" t="s">
        <v>20</v>
      </c>
      <c r="N7" s="14">
        <f>MIN(G4:G26)</f>
        <v>-35.699951171869998</v>
      </c>
    </row>
    <row r="8" spans="1:30" x14ac:dyDescent="0.25">
      <c r="A8" s="5">
        <v>45817</v>
      </c>
      <c r="B8" s="21">
        <v>1219.90002441406</v>
      </c>
      <c r="C8" s="21">
        <v>1224.5</v>
      </c>
      <c r="D8" s="21">
        <v>1206.19995117187</v>
      </c>
      <c r="E8" s="21">
        <v>1212.5</v>
      </c>
      <c r="F8" s="21">
        <v>9138108</v>
      </c>
      <c r="G8" s="9">
        <f t="shared" si="0"/>
        <v>-7.4000244140599989</v>
      </c>
      <c r="H8" s="24">
        <f t="shared" si="1"/>
        <v>0</v>
      </c>
      <c r="I8" s="23">
        <f t="shared" si="2"/>
        <v>-6.1031129188123699E-3</v>
      </c>
      <c r="J8" s="9">
        <f t="shared" si="3"/>
        <v>18.300048828130002</v>
      </c>
      <c r="K8" s="9">
        <f t="shared" si="4"/>
        <v>1.509282377577732</v>
      </c>
      <c r="M8" s="12" t="s">
        <v>21</v>
      </c>
      <c r="N8" s="15">
        <f>AVERAGE(F4:F26)</f>
        <v>6229326.3043478262</v>
      </c>
    </row>
    <row r="9" spans="1:30" x14ac:dyDescent="0.25">
      <c r="A9" s="5">
        <v>45818</v>
      </c>
      <c r="B9" s="21">
        <v>1232.80004882812</v>
      </c>
      <c r="C9" s="21">
        <v>1235.90002441406</v>
      </c>
      <c r="D9" s="21">
        <v>1218.40002441406</v>
      </c>
      <c r="E9" s="21">
        <v>1224.40002441406</v>
      </c>
      <c r="F9" s="21">
        <v>7747558</v>
      </c>
      <c r="G9" s="9">
        <f t="shared" si="0"/>
        <v>-8.4000244140599989</v>
      </c>
      <c r="H9" s="24">
        <f t="shared" si="1"/>
        <v>0</v>
      </c>
      <c r="I9" s="23">
        <f t="shared" si="2"/>
        <v>-6.8605229063760055E-3</v>
      </c>
      <c r="J9" s="9">
        <f t="shared" si="3"/>
        <v>17.5</v>
      </c>
      <c r="K9" s="9">
        <f t="shared" si="4"/>
        <v>1.4292714514094096</v>
      </c>
      <c r="M9" s="12" t="s">
        <v>22</v>
      </c>
      <c r="N9" s="16">
        <f>COUNTIF(G4:G24,"&gt;0")/COUNTA(G4:G24)</f>
        <v>0.5714285714285714</v>
      </c>
    </row>
    <row r="10" spans="1:30" x14ac:dyDescent="0.25">
      <c r="A10" s="5">
        <v>45819</v>
      </c>
      <c r="B10" s="21">
        <v>1231.40002441406</v>
      </c>
      <c r="C10" s="21">
        <v>1241.80004882812</v>
      </c>
      <c r="D10" s="21">
        <v>1228.09997558593</v>
      </c>
      <c r="E10" s="21">
        <v>1232.59997558593</v>
      </c>
      <c r="F10" s="21">
        <v>4135775</v>
      </c>
      <c r="G10" s="9">
        <f t="shared" si="0"/>
        <v>1.1999511718699978</v>
      </c>
      <c r="H10" s="24">
        <f t="shared" si="1"/>
        <v>1</v>
      </c>
      <c r="I10" s="23">
        <f t="shared" si="2"/>
        <v>9.7351224698798795E-4</v>
      </c>
      <c r="J10" s="9">
        <f t="shared" si="3"/>
        <v>13.700073242190001</v>
      </c>
      <c r="K10" s="9">
        <f t="shared" si="4"/>
        <v>1.1114776499713559</v>
      </c>
      <c r="M10" s="12" t="s">
        <v>23</v>
      </c>
      <c r="N10" s="17">
        <f>SUM(H4:H26)</f>
        <v>14</v>
      </c>
    </row>
    <row r="11" spans="1:30" ht="15.75" thickBot="1" x14ac:dyDescent="0.3">
      <c r="A11" s="5">
        <v>45820</v>
      </c>
      <c r="B11" s="21">
        <v>1212.90002441406</v>
      </c>
      <c r="C11" s="21">
        <v>1237.09997558593</v>
      </c>
      <c r="D11" s="21">
        <v>1210.80004882812</v>
      </c>
      <c r="E11" s="21">
        <v>1231</v>
      </c>
      <c r="F11" s="21">
        <v>3461744</v>
      </c>
      <c r="G11" s="9">
        <f t="shared" si="0"/>
        <v>18.099975585940001</v>
      </c>
      <c r="H11" s="24">
        <f t="shared" si="1"/>
        <v>1</v>
      </c>
      <c r="I11" s="23">
        <f t="shared" si="2"/>
        <v>1.4703473262339561E-2</v>
      </c>
      <c r="J11" s="9">
        <f t="shared" si="3"/>
        <v>26.299926757809999</v>
      </c>
      <c r="K11" s="9">
        <f t="shared" si="4"/>
        <v>2.1364684612355807</v>
      </c>
      <c r="M11" s="13" t="s">
        <v>37</v>
      </c>
      <c r="N11" s="28">
        <f>_xlfn.STDEV.P(G4:G30)</f>
        <v>14.448316179456068</v>
      </c>
    </row>
    <row r="12" spans="1:30" x14ac:dyDescent="0.25">
      <c r="A12" s="5">
        <v>45821</v>
      </c>
      <c r="B12" s="21">
        <v>1205.80004882812</v>
      </c>
      <c r="C12" s="21">
        <v>1211.69995117187</v>
      </c>
      <c r="D12" s="21">
        <v>1195.59997558593</v>
      </c>
      <c r="E12" s="21">
        <v>1198</v>
      </c>
      <c r="F12" s="21">
        <v>3906868</v>
      </c>
      <c r="G12" s="9">
        <f t="shared" si="0"/>
        <v>-7.8000488281199978</v>
      </c>
      <c r="H12" s="24">
        <f t="shared" si="1"/>
        <v>0</v>
      </c>
      <c r="I12" s="23">
        <f t="shared" si="2"/>
        <v>-6.5108921770617679E-3</v>
      </c>
      <c r="J12" s="9">
        <f t="shared" si="3"/>
        <v>16.099975585940001</v>
      </c>
      <c r="K12" s="9">
        <f t="shared" si="4"/>
        <v>1.3439044729499168</v>
      </c>
    </row>
    <row r="13" spans="1:30" x14ac:dyDescent="0.25">
      <c r="A13" s="5">
        <v>45824</v>
      </c>
      <c r="B13" s="21">
        <v>1215.40002441406</v>
      </c>
      <c r="C13" s="21">
        <v>1218</v>
      </c>
      <c r="D13" s="21">
        <v>1196</v>
      </c>
      <c r="E13" s="21">
        <v>1206.09997558593</v>
      </c>
      <c r="F13" s="21">
        <v>5697424</v>
      </c>
      <c r="G13" s="9">
        <f t="shared" si="0"/>
        <v>-9.3000488281300022</v>
      </c>
      <c r="H13" s="24">
        <f t="shared" si="1"/>
        <v>0</v>
      </c>
      <c r="I13" s="23">
        <f t="shared" si="2"/>
        <v>-7.7108440563660469E-3</v>
      </c>
      <c r="J13" s="9">
        <f t="shared" si="3"/>
        <v>22</v>
      </c>
      <c r="K13" s="9">
        <f t="shared" si="4"/>
        <v>1.8240610600553473</v>
      </c>
    </row>
    <row r="14" spans="1:30" x14ac:dyDescent="0.25">
      <c r="A14" s="5">
        <v>45825</v>
      </c>
      <c r="B14" s="21">
        <v>1215.09997558593</v>
      </c>
      <c r="C14" s="21">
        <v>1227</v>
      </c>
      <c r="D14" s="21">
        <v>1211.30004882812</v>
      </c>
      <c r="E14" s="21">
        <v>1215.40002441406</v>
      </c>
      <c r="F14" s="21">
        <v>4492946</v>
      </c>
      <c r="G14" s="9">
        <f t="shared" si="0"/>
        <v>0.30004882813000222</v>
      </c>
      <c r="H14" s="24">
        <f t="shared" si="1"/>
        <v>1</v>
      </c>
      <c r="I14" s="23">
        <f t="shared" si="2"/>
        <v>2.4687248815438744E-4</v>
      </c>
      <c r="J14" s="9">
        <f t="shared" si="3"/>
        <v>15.699951171880002</v>
      </c>
      <c r="K14" s="9">
        <f t="shared" si="4"/>
        <v>1.2917517571590384</v>
      </c>
    </row>
    <row r="15" spans="1:30" x14ac:dyDescent="0.25">
      <c r="A15" s="5">
        <v>45826</v>
      </c>
      <c r="B15" s="21">
        <v>1221</v>
      </c>
      <c r="C15" s="21">
        <v>1223.30004882812</v>
      </c>
      <c r="D15" s="21">
        <v>1203.90002441406</v>
      </c>
      <c r="E15" s="21">
        <v>1209.80004882812</v>
      </c>
      <c r="F15" s="21">
        <v>3135662</v>
      </c>
      <c r="G15" s="9">
        <f t="shared" si="0"/>
        <v>-11.199951171880002</v>
      </c>
      <c r="H15" s="24">
        <f t="shared" si="1"/>
        <v>0</v>
      </c>
      <c r="I15" s="23">
        <f t="shared" si="2"/>
        <v>-9.2576878160394362E-3</v>
      </c>
      <c r="J15" s="9">
        <f t="shared" si="3"/>
        <v>19.400024414059999</v>
      </c>
      <c r="K15" s="9">
        <f t="shared" si="4"/>
        <v>1.6035727914585511</v>
      </c>
    </row>
    <row r="16" spans="1:30" x14ac:dyDescent="0.25">
      <c r="A16" s="5">
        <v>45827</v>
      </c>
      <c r="B16" s="21">
        <v>1217.5</v>
      </c>
      <c r="C16" s="21">
        <v>1227.80004882812</v>
      </c>
      <c r="D16" s="21">
        <v>1213.80004882812</v>
      </c>
      <c r="E16" s="21">
        <v>1218</v>
      </c>
      <c r="F16" s="21">
        <v>4243763</v>
      </c>
      <c r="G16" s="9">
        <f t="shared" si="0"/>
        <v>0.5</v>
      </c>
      <c r="H16" s="24">
        <f t="shared" si="1"/>
        <v>1</v>
      </c>
      <c r="I16" s="23">
        <f t="shared" si="2"/>
        <v>4.1050903119868636E-4</v>
      </c>
      <c r="J16" s="9">
        <f t="shared" si="3"/>
        <v>14</v>
      </c>
      <c r="K16" s="9">
        <f t="shared" si="4"/>
        <v>1.1494252873563218</v>
      </c>
    </row>
    <row r="17" spans="1:11" x14ac:dyDescent="0.25">
      <c r="A17" s="5">
        <v>45828</v>
      </c>
      <c r="B17" s="21">
        <v>1220.69995117187</v>
      </c>
      <c r="C17" s="21">
        <v>1226</v>
      </c>
      <c r="D17" s="21">
        <v>1214.19995117187</v>
      </c>
      <c r="E17" s="21">
        <v>1217.5</v>
      </c>
      <c r="F17" s="21">
        <v>4652390</v>
      </c>
      <c r="G17" s="9">
        <f t="shared" si="0"/>
        <v>-3.1999511718699978</v>
      </c>
      <c r="H17" s="24">
        <f t="shared" si="1"/>
        <v>0</v>
      </c>
      <c r="I17" s="23">
        <f t="shared" si="2"/>
        <v>-2.6282966504065689E-3</v>
      </c>
      <c r="J17" s="9">
        <f t="shared" si="3"/>
        <v>11.800048828130002</v>
      </c>
      <c r="K17" s="9">
        <f t="shared" si="4"/>
        <v>0.96920318916878867</v>
      </c>
    </row>
    <row r="18" spans="1:11" x14ac:dyDescent="0.25">
      <c r="A18" s="5">
        <v>45831</v>
      </c>
      <c r="B18" s="21">
        <v>1214.09997558593</v>
      </c>
      <c r="C18" s="21">
        <v>1222.90002441406</v>
      </c>
      <c r="D18" s="21">
        <v>1205.59997558593</v>
      </c>
      <c r="E18" s="21">
        <v>1212.59997558593</v>
      </c>
      <c r="F18" s="21">
        <v>2312469</v>
      </c>
      <c r="G18" s="9">
        <f t="shared" si="0"/>
        <v>-1.5</v>
      </c>
      <c r="H18" s="24">
        <f t="shared" si="1"/>
        <v>0</v>
      </c>
      <c r="I18" s="23">
        <f t="shared" si="2"/>
        <v>-1.2370114054102615E-3</v>
      </c>
      <c r="J18" s="9">
        <f t="shared" si="3"/>
        <v>17.300048828130002</v>
      </c>
      <c r="K18" s="9">
        <f t="shared" si="4"/>
        <v>1.4266905143034161</v>
      </c>
    </row>
    <row r="19" spans="1:11" x14ac:dyDescent="0.25">
      <c r="A19" s="5">
        <v>45832</v>
      </c>
      <c r="B19" s="21">
        <v>1221.19995117187</v>
      </c>
      <c r="C19" s="21">
        <v>1238.40002441406</v>
      </c>
      <c r="D19" s="21">
        <v>1215.59997558593</v>
      </c>
      <c r="E19" s="21">
        <v>1222.90002441406</v>
      </c>
      <c r="F19" s="21">
        <v>6745788</v>
      </c>
      <c r="G19" s="9">
        <f t="shared" si="0"/>
        <v>1.7000732421900011</v>
      </c>
      <c r="H19" s="24">
        <f t="shared" si="1"/>
        <v>1</v>
      </c>
      <c r="I19" s="23">
        <f t="shared" si="2"/>
        <v>1.3901980605524754E-3</v>
      </c>
      <c r="J19" s="9">
        <f t="shared" si="3"/>
        <v>22.800048828130002</v>
      </c>
      <c r="K19" s="9">
        <f t="shared" si="4"/>
        <v>1.86442459505669</v>
      </c>
    </row>
    <row r="20" spans="1:11" x14ac:dyDescent="0.25">
      <c r="A20" s="5">
        <v>45833</v>
      </c>
      <c r="B20" s="21">
        <v>1213.30004882812</v>
      </c>
      <c r="C20" s="21">
        <v>1226.30004882812</v>
      </c>
      <c r="D20" s="21">
        <v>1211</v>
      </c>
      <c r="E20" s="21">
        <v>1226.30004882812</v>
      </c>
      <c r="F20" s="21">
        <v>4229259</v>
      </c>
      <c r="G20" s="9">
        <f t="shared" si="0"/>
        <v>13</v>
      </c>
      <c r="H20" s="24">
        <f t="shared" si="1"/>
        <v>1</v>
      </c>
      <c r="I20" s="23">
        <f t="shared" si="2"/>
        <v>1.0600994440490395E-2</v>
      </c>
      <c r="J20" s="9">
        <f t="shared" si="3"/>
        <v>15.300048828119998</v>
      </c>
      <c r="K20" s="9">
        <f t="shared" si="4"/>
        <v>1.247659481277936</v>
      </c>
    </row>
    <row r="21" spans="1:11" x14ac:dyDescent="0.25">
      <c r="A21" s="5">
        <v>45834</v>
      </c>
      <c r="B21" s="21">
        <v>1233.5</v>
      </c>
      <c r="C21" s="21">
        <v>1239</v>
      </c>
      <c r="D21" s="21">
        <v>1211.19995117187</v>
      </c>
      <c r="E21" s="21">
        <v>1215.19995117187</v>
      </c>
      <c r="F21" s="21">
        <v>8678448</v>
      </c>
      <c r="G21" s="9">
        <f t="shared" si="0"/>
        <v>-18.300048828130002</v>
      </c>
      <c r="H21" s="24">
        <f t="shared" si="1"/>
        <v>0</v>
      </c>
      <c r="I21" s="23">
        <f t="shared" si="2"/>
        <v>-1.5059290292500811E-2</v>
      </c>
      <c r="J21" s="9">
        <f t="shared" si="3"/>
        <v>27.800048828130002</v>
      </c>
      <c r="K21" s="9">
        <f t="shared" si="4"/>
        <v>2.2876933792929477</v>
      </c>
    </row>
    <row r="22" spans="1:11" x14ac:dyDescent="0.25">
      <c r="A22" s="5">
        <v>45835</v>
      </c>
      <c r="B22" s="21">
        <v>1225.09997558593</v>
      </c>
      <c r="C22" s="21">
        <v>1247</v>
      </c>
      <c r="D22" s="21">
        <v>1220.40002441406</v>
      </c>
      <c r="E22" s="21">
        <v>1236.90002441406</v>
      </c>
      <c r="F22" s="21">
        <v>6068274</v>
      </c>
      <c r="G22" s="9">
        <f t="shared" si="0"/>
        <v>11.800048828130002</v>
      </c>
      <c r="H22" s="24">
        <f t="shared" si="1"/>
        <v>1</v>
      </c>
      <c r="I22" s="23">
        <f t="shared" si="2"/>
        <v>9.5400182676201994E-3</v>
      </c>
      <c r="J22" s="9">
        <f t="shared" si="3"/>
        <v>26.599975585940001</v>
      </c>
      <c r="K22" s="9">
        <f t="shared" si="4"/>
        <v>2.1505356181507755</v>
      </c>
    </row>
    <row r="23" spans="1:11" x14ac:dyDescent="0.25">
      <c r="A23" s="5">
        <v>45838</v>
      </c>
      <c r="B23" s="21">
        <v>1199.19995117187</v>
      </c>
      <c r="C23" s="21">
        <v>1236</v>
      </c>
      <c r="D23" s="21">
        <v>1193.09997558593</v>
      </c>
      <c r="E23" s="21">
        <v>1228.90002441406</v>
      </c>
      <c r="F23" s="21">
        <v>6559872</v>
      </c>
      <c r="G23" s="9">
        <f t="shared" si="0"/>
        <v>29.700073242190001</v>
      </c>
      <c r="H23" s="24">
        <f t="shared" si="1"/>
        <v>1</v>
      </c>
      <c r="I23" s="23">
        <f t="shared" si="2"/>
        <v>2.4168014201440845E-2</v>
      </c>
      <c r="J23" s="9">
        <f t="shared" si="3"/>
        <v>42.900024414070003</v>
      </c>
      <c r="K23" s="9">
        <f t="shared" si="4"/>
        <v>3.4909287624536218</v>
      </c>
    </row>
    <row r="24" spans="1:11" x14ac:dyDescent="0.25">
      <c r="A24" s="5">
        <v>45839</v>
      </c>
      <c r="B24" s="21">
        <v>1173.30004882812</v>
      </c>
      <c r="C24" s="21">
        <v>1202</v>
      </c>
      <c r="D24" s="21">
        <v>1167</v>
      </c>
      <c r="E24" s="21">
        <v>1202</v>
      </c>
      <c r="F24" s="21">
        <v>8702198</v>
      </c>
      <c r="G24" s="9">
        <f t="shared" si="0"/>
        <v>28.699951171880002</v>
      </c>
      <c r="H24" s="24">
        <f t="shared" si="1"/>
        <v>1</v>
      </c>
      <c r="I24" s="23">
        <f t="shared" si="2"/>
        <v>2.3876831257803662E-2</v>
      </c>
      <c r="J24" s="9">
        <f t="shared" si="3"/>
        <v>35</v>
      </c>
      <c r="K24" s="9">
        <f t="shared" si="4"/>
        <v>2.9118136439267883</v>
      </c>
    </row>
    <row r="25" spans="1:11" x14ac:dyDescent="0.25">
      <c r="A25" s="5">
        <v>45840</v>
      </c>
      <c r="B25" s="21">
        <v>1175.30004882812</v>
      </c>
      <c r="C25" s="21">
        <v>1181.90002441406</v>
      </c>
      <c r="D25" s="21">
        <v>1172</v>
      </c>
      <c r="E25" s="21">
        <v>1180</v>
      </c>
      <c r="F25" s="21">
        <v>5471100</v>
      </c>
      <c r="G25" s="9">
        <f t="shared" si="0"/>
        <v>4.6999511718800022</v>
      </c>
      <c r="H25" s="24">
        <f t="shared" si="1"/>
        <v>1</v>
      </c>
      <c r="I25" s="23">
        <f t="shared" si="2"/>
        <v>3.9830094676949175E-3</v>
      </c>
      <c r="J25" s="9">
        <f t="shared" si="3"/>
        <v>9.9000244140599989</v>
      </c>
      <c r="K25" s="9">
        <f t="shared" si="4"/>
        <v>0.8389851198355931</v>
      </c>
    </row>
    <row r="26" spans="1:11" x14ac:dyDescent="0.25">
      <c r="A26" s="5">
        <v>45841</v>
      </c>
      <c r="B26" s="21">
        <v>1171.09997558593</v>
      </c>
      <c r="C26" s="21">
        <v>1181</v>
      </c>
      <c r="D26" s="21">
        <v>1168</v>
      </c>
      <c r="E26" s="21">
        <v>1178</v>
      </c>
      <c r="F26" s="21">
        <v>6235818</v>
      </c>
      <c r="G26" s="9">
        <f t="shared" si="0"/>
        <v>6.9000244140700033</v>
      </c>
      <c r="H26" s="24">
        <f t="shared" si="1"/>
        <v>1</v>
      </c>
      <c r="I26" s="23">
        <f t="shared" si="2"/>
        <v>5.8574061239983054E-3</v>
      </c>
      <c r="J26" s="9">
        <f t="shared" si="3"/>
        <v>13</v>
      </c>
      <c r="K26" s="9">
        <f t="shared" si="4"/>
        <v>1.1035653650254669</v>
      </c>
    </row>
    <row r="27" spans="1:11" x14ac:dyDescent="0.25">
      <c r="I27" s="8"/>
    </row>
    <row r="35" spans="2:4" x14ac:dyDescent="0.25">
      <c r="B35" s="18"/>
      <c r="C35" s="18"/>
      <c r="D35" s="18"/>
    </row>
  </sheetData>
  <conditionalFormatting sqref="G4:G26 I4:K26">
    <cfRule type="cellIs" dxfId="15" priority="2" operator="lessThan">
      <formula>0</formula>
    </cfRule>
  </conditionalFormatting>
  <conditionalFormatting sqref="G4:G26">
    <cfRule type="cellIs" dxfId="14" priority="3" operator="greaterThan">
      <formula>0</formula>
    </cfRule>
  </conditionalFormatting>
  <conditionalFormatting sqref="I4:I26">
    <cfRule type="cellIs" dxfId="13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C31C-BAAB-4030-9DA1-E3468BF524A5}">
  <dimension ref="A1:N26"/>
  <sheetViews>
    <sheetView workbookViewId="0">
      <selection activeCell="L12" sqref="L12"/>
    </sheetView>
  </sheetViews>
  <sheetFormatPr defaultRowHeight="15" x14ac:dyDescent="0.25"/>
  <cols>
    <col min="1" max="1" width="8.42578125" style="4" bestFit="1" customWidth="1"/>
    <col min="2" max="6" width="11.42578125" style="3" bestFit="1" customWidth="1"/>
    <col min="7" max="7" width="14.7109375" style="3" bestFit="1" customWidth="1"/>
    <col min="8" max="8" width="4" style="3" hidden="1" customWidth="1"/>
    <col min="9" max="9" width="13.5703125" style="3" bestFit="1" customWidth="1"/>
    <col min="10" max="10" width="11.85546875" style="3" bestFit="1" customWidth="1"/>
    <col min="11" max="11" width="8.7109375" style="3" bestFit="1" customWidth="1"/>
    <col min="13" max="13" width="25.7109375" bestFit="1" customWidth="1"/>
  </cols>
  <sheetData>
    <row r="1" spans="1:1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5" t="s">
        <v>14</v>
      </c>
      <c r="H1" s="4"/>
      <c r="I1" s="4" t="s">
        <v>14</v>
      </c>
      <c r="J1" s="4" t="s">
        <v>15</v>
      </c>
      <c r="K1" s="5" t="s">
        <v>16</v>
      </c>
      <c r="L1" s="25"/>
      <c r="M1" s="25"/>
      <c r="N1" s="25"/>
    </row>
    <row r="2" spans="1:14" hidden="1" x14ac:dyDescent="0.25">
      <c r="A2" s="4" t="s">
        <v>6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L2" s="19"/>
      <c r="M2" s="19"/>
      <c r="N2" s="19"/>
    </row>
    <row r="3" spans="1:14" ht="15.75" thickBot="1" x14ac:dyDescent="0.3">
      <c r="A3" s="4" t="s">
        <v>8</v>
      </c>
      <c r="L3" s="19"/>
      <c r="M3" s="19"/>
      <c r="N3" s="19"/>
    </row>
    <row r="4" spans="1:14" x14ac:dyDescent="0.25">
      <c r="A4" s="5">
        <v>45811</v>
      </c>
      <c r="B4" s="21">
        <v>1903.65771484375</v>
      </c>
      <c r="C4" s="21">
        <v>1930.75958979148</v>
      </c>
      <c r="D4" s="21">
        <v>1899.1077932375199</v>
      </c>
      <c r="E4" s="21">
        <v>1916.91192879912</v>
      </c>
      <c r="F4" s="21">
        <v>12188792</v>
      </c>
      <c r="G4" s="21">
        <f>E4-B4</f>
        <v>13.254213955370005</v>
      </c>
      <c r="H4" s="21">
        <f>IF(G4&gt;0, 1, 0)</f>
        <v>1</v>
      </c>
      <c r="I4" s="22">
        <f>G4/E4</f>
        <v>6.9143572827956258E-3</v>
      </c>
      <c r="J4" s="21">
        <f>C4-D4</f>
        <v>31.651796553960139</v>
      </c>
      <c r="K4" s="21">
        <f>J4/E4*100</f>
        <v>1.6511867905057542</v>
      </c>
      <c r="L4" s="19"/>
      <c r="M4" s="10" t="s">
        <v>17</v>
      </c>
      <c r="N4" s="11">
        <f>AVERAGE(I4:I26)</f>
        <v>-1.0924764504707434E-3</v>
      </c>
    </row>
    <row r="5" spans="1:14" x14ac:dyDescent="0.25">
      <c r="A5" s="5">
        <v>45812</v>
      </c>
      <c r="B5" s="21">
        <v>1920.07702636718</v>
      </c>
      <c r="C5" s="21">
        <v>1922.1542720730999</v>
      </c>
      <c r="D5" s="21">
        <v>1899.99799072684</v>
      </c>
      <c r="E5" s="21">
        <v>1900.0968784409299</v>
      </c>
      <c r="F5" s="21">
        <v>6480771</v>
      </c>
      <c r="G5" s="21">
        <f t="shared" ref="G5:G26" si="0">E5-B5</f>
        <v>-19.980147926250083</v>
      </c>
      <c r="H5" s="21">
        <f t="shared" ref="H5:H26" si="1">IF(G5&gt;0, 1, 0)</f>
        <v>0</v>
      </c>
      <c r="I5" s="22">
        <f t="shared" ref="I5:I26" si="2">G5/E5</f>
        <v>-1.051533116703198E-2</v>
      </c>
      <c r="J5" s="21">
        <f t="shared" ref="J5:J26" si="3">C5-D5</f>
        <v>22.156281346259902</v>
      </c>
      <c r="K5" s="21">
        <f t="shared" ref="K5:K26" si="4">J5/E5*100</f>
        <v>1.1660606149955681</v>
      </c>
      <c r="L5" s="19"/>
      <c r="M5" s="12" t="s">
        <v>18</v>
      </c>
      <c r="N5" s="14">
        <f>AVERAGE(K4:K26)</f>
        <v>1.2877981470222828</v>
      </c>
    </row>
    <row r="6" spans="1:14" x14ac:dyDescent="0.25">
      <c r="A6" s="5">
        <v>45813</v>
      </c>
      <c r="B6" s="21">
        <v>1928.38562011718</v>
      </c>
      <c r="C6" s="21">
        <v>1937.5844714975301</v>
      </c>
      <c r="D6" s="21">
        <v>1919.08788102413</v>
      </c>
      <c r="E6" s="21">
        <v>1926.8030544877699</v>
      </c>
      <c r="F6" s="21">
        <v>11127709</v>
      </c>
      <c r="G6" s="21">
        <f t="shared" si="0"/>
        <v>-1.5825656294100554</v>
      </c>
      <c r="H6" s="21">
        <f t="shared" si="1"/>
        <v>0</v>
      </c>
      <c r="I6" s="22">
        <f t="shared" si="2"/>
        <v>-8.2134270325348417E-4</v>
      </c>
      <c r="J6" s="21">
        <f t="shared" si="3"/>
        <v>18.496590473400147</v>
      </c>
      <c r="K6" s="21">
        <f t="shared" si="4"/>
        <v>0.95996269210385721</v>
      </c>
      <c r="L6" s="19"/>
      <c r="M6" s="12" t="s">
        <v>19</v>
      </c>
      <c r="N6" s="14">
        <f>MAX(G4:G26)</f>
        <v>33.900024414059999</v>
      </c>
    </row>
    <row r="7" spans="1:14" x14ac:dyDescent="0.25">
      <c r="A7" s="5">
        <v>45814</v>
      </c>
      <c r="B7" s="21">
        <v>1957.1689453125</v>
      </c>
      <c r="C7" s="21">
        <v>1974.5775294421301</v>
      </c>
      <c r="D7" s="21">
        <v>1921.5606753524501</v>
      </c>
      <c r="E7" s="21">
        <v>1922.8465778422601</v>
      </c>
      <c r="F7" s="21">
        <v>15063504</v>
      </c>
      <c r="G7" s="21">
        <f t="shared" si="0"/>
        <v>-34.322367470239897</v>
      </c>
      <c r="H7" s="21">
        <f t="shared" si="1"/>
        <v>0</v>
      </c>
      <c r="I7" s="22">
        <f t="shared" si="2"/>
        <v>-1.7849769121338351E-2</v>
      </c>
      <c r="J7" s="21">
        <f t="shared" si="3"/>
        <v>53.01685408968001</v>
      </c>
      <c r="K7" s="21">
        <f t="shared" si="4"/>
        <v>2.7572066695603641</v>
      </c>
      <c r="L7" s="19"/>
      <c r="M7" s="12" t="s">
        <v>20</v>
      </c>
      <c r="N7" s="14">
        <f>MIN(G4:G26)</f>
        <v>-39.960415889160004</v>
      </c>
    </row>
    <row r="8" spans="1:14" x14ac:dyDescent="0.25">
      <c r="A8" s="5">
        <v>45817</v>
      </c>
      <c r="B8" s="21">
        <v>1957.36694335937</v>
      </c>
      <c r="C8" s="21">
        <v>1973.29172966086</v>
      </c>
      <c r="D8" s="21">
        <v>1954.39958737492</v>
      </c>
      <c r="E8" s="21">
        <v>1973.29172966086</v>
      </c>
      <c r="F8" s="21">
        <v>6601294</v>
      </c>
      <c r="G8" s="21">
        <f t="shared" si="0"/>
        <v>15.92478630149003</v>
      </c>
      <c r="H8" s="21">
        <f t="shared" si="1"/>
        <v>1</v>
      </c>
      <c r="I8" s="22">
        <f t="shared" si="2"/>
        <v>8.0701632009712743E-3</v>
      </c>
      <c r="J8" s="21">
        <f t="shared" si="3"/>
        <v>18.892142285940054</v>
      </c>
      <c r="K8" s="21">
        <f t="shared" si="4"/>
        <v>0.95739225994663002</v>
      </c>
      <c r="L8" s="19"/>
      <c r="M8" s="12" t="s">
        <v>21</v>
      </c>
      <c r="N8" s="15">
        <f>AVERAGE(F4:F26)</f>
        <v>9881926.7391304355</v>
      </c>
    </row>
    <row r="9" spans="1:14" x14ac:dyDescent="0.25">
      <c r="A9" s="5">
        <v>45818</v>
      </c>
      <c r="B9" s="21">
        <v>1943.91491699218</v>
      </c>
      <c r="C9" s="21">
        <v>1961.22449324119</v>
      </c>
      <c r="D9" s="21">
        <v>1939.76054624721</v>
      </c>
      <c r="E9" s="21">
        <v>1961.22449324119</v>
      </c>
      <c r="F9" s="21">
        <v>7766563</v>
      </c>
      <c r="G9" s="21">
        <f t="shared" si="0"/>
        <v>17.309576249009979</v>
      </c>
      <c r="H9" s="21">
        <f t="shared" si="1"/>
        <v>1</v>
      </c>
      <c r="I9" s="22">
        <f t="shared" si="2"/>
        <v>8.8259025464257554E-3</v>
      </c>
      <c r="J9" s="21">
        <f t="shared" si="3"/>
        <v>21.463946993980016</v>
      </c>
      <c r="K9" s="21">
        <f t="shared" si="4"/>
        <v>1.0944156096331392</v>
      </c>
      <c r="L9" s="19"/>
      <c r="M9" s="12" t="s">
        <v>22</v>
      </c>
      <c r="N9" s="16">
        <f>COUNTIF(G4:G24,"&gt;0")/COUNTA(G4:G24)</f>
        <v>0.42857142857142855</v>
      </c>
    </row>
    <row r="10" spans="1:14" x14ac:dyDescent="0.25">
      <c r="A10" s="5">
        <v>45819</v>
      </c>
      <c r="B10" s="21">
        <v>1929.17700195312</v>
      </c>
      <c r="C10" s="21">
        <v>1946.1897941086499</v>
      </c>
      <c r="D10" s="21">
        <v>1925.8139744594901</v>
      </c>
      <c r="E10" s="21">
        <v>1946.1897941086499</v>
      </c>
      <c r="F10" s="21">
        <v>5548197</v>
      </c>
      <c r="G10" s="21">
        <f t="shared" si="0"/>
        <v>17.012792155529951</v>
      </c>
      <c r="H10" s="21">
        <f t="shared" si="1"/>
        <v>1</v>
      </c>
      <c r="I10" s="22">
        <f t="shared" si="2"/>
        <v>8.7415894416000509E-3</v>
      </c>
      <c r="J10" s="21">
        <f t="shared" si="3"/>
        <v>20.375819649159894</v>
      </c>
      <c r="K10" s="21">
        <f t="shared" si="4"/>
        <v>1.0469595365693494</v>
      </c>
      <c r="L10" s="19"/>
      <c r="M10" s="12" t="s">
        <v>23</v>
      </c>
      <c r="N10" s="17">
        <f>SUM(H4:H26)</f>
        <v>11</v>
      </c>
    </row>
    <row r="11" spans="1:14" ht="15.75" thickBot="1" x14ac:dyDescent="0.3">
      <c r="A11" s="5">
        <v>45820</v>
      </c>
      <c r="B11" s="21">
        <v>1922.25317382812</v>
      </c>
      <c r="C11" s="21">
        <v>1939.66163760519</v>
      </c>
      <c r="D11" s="21">
        <v>1914.2413370562799</v>
      </c>
      <c r="E11" s="21">
        <v>1928.7813326517701</v>
      </c>
      <c r="F11" s="21">
        <v>8174565</v>
      </c>
      <c r="G11" s="21">
        <f t="shared" si="0"/>
        <v>6.5281588236500738</v>
      </c>
      <c r="H11" s="21">
        <f t="shared" si="1"/>
        <v>1</v>
      </c>
      <c r="I11" s="22">
        <f t="shared" si="2"/>
        <v>3.3846028645843876E-3</v>
      </c>
      <c r="J11" s="21">
        <f t="shared" si="3"/>
        <v>25.420300548910063</v>
      </c>
      <c r="K11" s="21">
        <f t="shared" si="4"/>
        <v>1.3179462139423115</v>
      </c>
      <c r="L11" s="19"/>
      <c r="M11" s="13" t="s">
        <v>37</v>
      </c>
      <c r="N11" s="28">
        <f>_xlfn.STDEV.P(G4:G30)</f>
        <v>17.772453232447614</v>
      </c>
    </row>
    <row r="12" spans="1:14" x14ac:dyDescent="0.25">
      <c r="A12" s="5">
        <v>45821</v>
      </c>
      <c r="B12" s="21">
        <v>1896.73388671875</v>
      </c>
      <c r="C12" s="21">
        <v>1911.9663379777801</v>
      </c>
      <c r="D12" s="21">
        <v>1892.1839651068301</v>
      </c>
      <c r="E12" s="21">
        <v>1899.1077956116601</v>
      </c>
      <c r="F12" s="21">
        <v>6058881</v>
      </c>
      <c r="G12" s="21">
        <f t="shared" si="0"/>
        <v>2.3739088929100944</v>
      </c>
      <c r="H12" s="21">
        <f t="shared" si="1"/>
        <v>1</v>
      </c>
      <c r="I12" s="22">
        <f t="shared" si="2"/>
        <v>1.2500127156528846E-3</v>
      </c>
      <c r="J12" s="21">
        <f t="shared" si="3"/>
        <v>19.782372870949985</v>
      </c>
      <c r="K12" s="21">
        <f t="shared" si="4"/>
        <v>1.0416666666664136</v>
      </c>
      <c r="L12" s="19"/>
      <c r="M12" s="19"/>
      <c r="N12" s="19"/>
    </row>
    <row r="13" spans="1:14" x14ac:dyDescent="0.25">
      <c r="A13" s="5">
        <v>45824</v>
      </c>
      <c r="B13" s="21">
        <v>1914.34020996093</v>
      </c>
      <c r="C13" s="21">
        <v>1917.8021251466</v>
      </c>
      <c r="D13" s="21">
        <v>1899.2066467096299</v>
      </c>
      <c r="E13" s="21">
        <v>1903.0642334934901</v>
      </c>
      <c r="F13" s="21">
        <v>8256873</v>
      </c>
      <c r="G13" s="21">
        <f t="shared" si="0"/>
        <v>-11.275976467439932</v>
      </c>
      <c r="H13" s="21">
        <f t="shared" si="1"/>
        <v>0</v>
      </c>
      <c r="I13" s="22">
        <f t="shared" si="2"/>
        <v>-5.9251686143774636E-3</v>
      </c>
      <c r="J13" s="21">
        <f t="shared" si="3"/>
        <v>18.595478436970097</v>
      </c>
      <c r="K13" s="21">
        <f t="shared" si="4"/>
        <v>0.97713351497516376</v>
      </c>
      <c r="L13" s="19"/>
      <c r="M13" s="19"/>
      <c r="N13" s="19"/>
    </row>
    <row r="14" spans="1:14" x14ac:dyDescent="0.25">
      <c r="A14" s="5">
        <v>45825</v>
      </c>
      <c r="B14" s="21">
        <v>1908.60327148437</v>
      </c>
      <c r="C14" s="21">
        <v>1920.4726949646699</v>
      </c>
      <c r="D14" s="21">
        <v>1898.2175259390999</v>
      </c>
      <c r="E14" s="21">
        <v>1915.9227734456299</v>
      </c>
      <c r="F14" s="21">
        <v>8489368</v>
      </c>
      <c r="G14" s="21">
        <f t="shared" si="0"/>
        <v>7.3195019612599026</v>
      </c>
      <c r="H14" s="21">
        <f t="shared" si="1"/>
        <v>1</v>
      </c>
      <c r="I14" s="22">
        <f t="shared" si="2"/>
        <v>3.8203533371527179E-3</v>
      </c>
      <c r="J14" s="21">
        <f t="shared" si="3"/>
        <v>22.255169025570012</v>
      </c>
      <c r="K14" s="21">
        <f t="shared" si="4"/>
        <v>1.1615900877646503</v>
      </c>
      <c r="L14" s="19"/>
      <c r="M14" s="19"/>
      <c r="N14" s="19"/>
    </row>
    <row r="15" spans="1:14" x14ac:dyDescent="0.25">
      <c r="A15" s="5">
        <v>45826</v>
      </c>
      <c r="B15" s="21">
        <v>1912.85656738281</v>
      </c>
      <c r="C15" s="21">
        <v>1915.2304762738399</v>
      </c>
      <c r="D15" s="21">
        <v>1896.14043817175</v>
      </c>
      <c r="E15" s="21">
        <v>1896.14043817175</v>
      </c>
      <c r="F15" s="21">
        <v>9216908</v>
      </c>
      <c r="G15" s="21">
        <f t="shared" si="0"/>
        <v>-16.716129211059979</v>
      </c>
      <c r="H15" s="21">
        <f t="shared" si="1"/>
        <v>0</v>
      </c>
      <c r="I15" s="22">
        <f t="shared" si="2"/>
        <v>-8.815870847191886E-3</v>
      </c>
      <c r="J15" s="21">
        <f t="shared" si="3"/>
        <v>19.09003810208992</v>
      </c>
      <c r="K15" s="21">
        <f t="shared" si="4"/>
        <v>1.0067839764282676</v>
      </c>
      <c r="L15" s="19"/>
      <c r="M15" s="19"/>
      <c r="N15" s="19"/>
    </row>
    <row r="16" spans="1:14" x14ac:dyDescent="0.25">
      <c r="A16" s="5">
        <v>45827</v>
      </c>
      <c r="B16" s="21">
        <v>1914.24133300781</v>
      </c>
      <c r="C16" s="21">
        <v>1925.61619725324</v>
      </c>
      <c r="D16" s="21">
        <v>1904.64680985123</v>
      </c>
      <c r="E16" s="21">
        <v>1912.8565427773499</v>
      </c>
      <c r="F16" s="21">
        <v>8438110</v>
      </c>
      <c r="G16" s="21">
        <f t="shared" si="0"/>
        <v>-1.3847902304601121</v>
      </c>
      <c r="H16" s="21">
        <f t="shared" si="1"/>
        <v>0</v>
      </c>
      <c r="I16" s="22">
        <f t="shared" si="2"/>
        <v>-7.2393836102809981E-4</v>
      </c>
      <c r="J16" s="21">
        <f t="shared" si="3"/>
        <v>20.969387402009943</v>
      </c>
      <c r="K16" s="21">
        <f t="shared" si="4"/>
        <v>1.0962341886633946</v>
      </c>
      <c r="L16" s="19"/>
      <c r="M16" s="19"/>
      <c r="N16" s="19"/>
    </row>
    <row r="17" spans="1:14" x14ac:dyDescent="0.25">
      <c r="A17" s="5">
        <v>45828</v>
      </c>
      <c r="B17" s="21">
        <v>1943.3212890625</v>
      </c>
      <c r="C17" s="21">
        <v>1948.4647782910699</v>
      </c>
      <c r="D17" s="21">
        <v>1910.58148714758</v>
      </c>
      <c r="E17" s="21">
        <v>1910.58148714758</v>
      </c>
      <c r="F17" s="21">
        <v>16450204</v>
      </c>
      <c r="G17" s="21">
        <f t="shared" si="0"/>
        <v>-32.739801914920008</v>
      </c>
      <c r="H17" s="21">
        <f t="shared" si="1"/>
        <v>0</v>
      </c>
      <c r="I17" s="22">
        <f t="shared" si="2"/>
        <v>-1.7136040590343619E-2</v>
      </c>
      <c r="J17" s="21">
        <f t="shared" si="3"/>
        <v>37.883291143489942</v>
      </c>
      <c r="K17" s="21">
        <f t="shared" si="4"/>
        <v>1.9828147293548912</v>
      </c>
      <c r="L17" s="19"/>
      <c r="M17" s="19"/>
      <c r="N17" s="19"/>
    </row>
    <row r="18" spans="1:14" x14ac:dyDescent="0.25">
      <c r="A18" s="5">
        <v>45831</v>
      </c>
      <c r="B18" s="21">
        <v>1927.19873046875</v>
      </c>
      <c r="C18" s="21">
        <v>1936.5953572959099</v>
      </c>
      <c r="D18" s="21">
        <v>1920.6705717688001</v>
      </c>
      <c r="E18" s="21">
        <v>1927.19873046875</v>
      </c>
      <c r="F18" s="21">
        <v>5869759</v>
      </c>
      <c r="G18" s="21">
        <f t="shared" si="0"/>
        <v>0</v>
      </c>
      <c r="H18" s="21">
        <f t="shared" si="1"/>
        <v>0</v>
      </c>
      <c r="I18" s="22">
        <f t="shared" si="2"/>
        <v>0</v>
      </c>
      <c r="J18" s="21">
        <f t="shared" si="3"/>
        <v>15.924785527109862</v>
      </c>
      <c r="K18" s="21">
        <f t="shared" si="4"/>
        <v>0.82631776761478548</v>
      </c>
      <c r="L18" s="19"/>
      <c r="M18" s="19"/>
      <c r="N18" s="19"/>
    </row>
    <row r="19" spans="1:14" x14ac:dyDescent="0.25">
      <c r="A19" s="5">
        <v>45832</v>
      </c>
      <c r="B19" s="21">
        <v>1939.56274414062</v>
      </c>
      <c r="C19" s="21">
        <v>1957.4657671806799</v>
      </c>
      <c r="D19" s="21">
        <v>1934.32036710907</v>
      </c>
      <c r="E19" s="21">
        <v>1943.61810637192</v>
      </c>
      <c r="F19" s="21">
        <v>11312661</v>
      </c>
      <c r="G19" s="21">
        <f t="shared" si="0"/>
        <v>4.0553622313000233</v>
      </c>
      <c r="H19" s="21">
        <f t="shared" si="1"/>
        <v>1</v>
      </c>
      <c r="I19" s="22">
        <f t="shared" si="2"/>
        <v>2.0865015704499778E-3</v>
      </c>
      <c r="J19" s="21">
        <f t="shared" si="3"/>
        <v>23.145400071609856</v>
      </c>
      <c r="K19" s="21">
        <f t="shared" si="4"/>
        <v>1.1908409371023261</v>
      </c>
      <c r="L19" s="19"/>
      <c r="M19" s="19"/>
      <c r="N19" s="19"/>
    </row>
    <row r="20" spans="1:14" x14ac:dyDescent="0.25">
      <c r="A20" s="5">
        <v>45833</v>
      </c>
      <c r="B20" s="21">
        <v>1958.65270996093</v>
      </c>
      <c r="C20" s="21">
        <v>1960.43317183458</v>
      </c>
      <c r="D20" s="21">
        <v>1942.5301483491801</v>
      </c>
      <c r="E20" s="21">
        <v>1944.6072733737601</v>
      </c>
      <c r="F20" s="21">
        <v>9202966</v>
      </c>
      <c r="G20" s="21">
        <f t="shared" si="0"/>
        <v>-14.045436587169888</v>
      </c>
      <c r="H20" s="21">
        <f t="shared" si="1"/>
        <v>0</v>
      </c>
      <c r="I20" s="22">
        <f t="shared" si="2"/>
        <v>-7.222762549274034E-3</v>
      </c>
      <c r="J20" s="21">
        <f t="shared" si="3"/>
        <v>17.903023485399899</v>
      </c>
      <c r="K20" s="21">
        <f t="shared" si="4"/>
        <v>0.92064982634459569</v>
      </c>
      <c r="L20" s="19"/>
      <c r="M20" s="19"/>
      <c r="N20" s="19"/>
    </row>
    <row r="21" spans="1:14" x14ac:dyDescent="0.25">
      <c r="A21" s="5">
        <v>45834</v>
      </c>
      <c r="B21" s="21">
        <v>1999.80004882812</v>
      </c>
      <c r="C21" s="21">
        <v>2005.0423050023701</v>
      </c>
      <c r="D21" s="21">
        <v>1958.4548427401301</v>
      </c>
      <c r="E21" s="21">
        <v>1959.83963293896</v>
      </c>
      <c r="F21" s="21">
        <v>25042415</v>
      </c>
      <c r="G21" s="21">
        <f t="shared" si="0"/>
        <v>-39.960415889160004</v>
      </c>
      <c r="H21" s="21">
        <f t="shared" si="1"/>
        <v>0</v>
      </c>
      <c r="I21" s="22">
        <f t="shared" si="2"/>
        <v>-2.0389635568924421E-2</v>
      </c>
      <c r="J21" s="21">
        <f t="shared" si="3"/>
        <v>46.587462262240024</v>
      </c>
      <c r="K21" s="21">
        <f t="shared" si="4"/>
        <v>2.3771058345410556</v>
      </c>
      <c r="L21" s="19"/>
      <c r="M21" s="19"/>
      <c r="N21" s="19"/>
    </row>
    <row r="22" spans="1:14" x14ac:dyDescent="0.25">
      <c r="A22" s="5">
        <v>45835</v>
      </c>
      <c r="B22" s="21">
        <v>2014.90002441406</v>
      </c>
      <c r="C22" s="21">
        <v>2019.80004882812</v>
      </c>
      <c r="D22" s="21">
        <v>1993.40002441406</v>
      </c>
      <c r="E22" s="21">
        <v>2013</v>
      </c>
      <c r="F22" s="21">
        <v>14106692</v>
      </c>
      <c r="G22" s="21">
        <f t="shared" si="0"/>
        <v>-1.9000244140599989</v>
      </c>
      <c r="H22" s="21">
        <f t="shared" si="1"/>
        <v>0</v>
      </c>
      <c r="I22" s="22">
        <f t="shared" si="2"/>
        <v>-9.4387700648782859E-4</v>
      </c>
      <c r="J22" s="21">
        <f t="shared" si="3"/>
        <v>26.400024414059999</v>
      </c>
      <c r="K22" s="21">
        <f t="shared" si="4"/>
        <v>1.3114766226557377</v>
      </c>
      <c r="L22" s="19"/>
      <c r="M22" s="19"/>
      <c r="N22" s="19"/>
    </row>
    <row r="23" spans="1:14" x14ac:dyDescent="0.25">
      <c r="A23" s="5">
        <v>45838</v>
      </c>
      <c r="B23" s="21">
        <v>2001.5</v>
      </c>
      <c r="C23" s="21">
        <v>2013.80004882812</v>
      </c>
      <c r="D23" s="21">
        <v>1995.5</v>
      </c>
      <c r="E23" s="21">
        <v>2011.5</v>
      </c>
      <c r="F23" s="21">
        <v>6824510</v>
      </c>
      <c r="G23" s="21">
        <f t="shared" si="0"/>
        <v>10</v>
      </c>
      <c r="H23" s="21">
        <f t="shared" si="1"/>
        <v>1</v>
      </c>
      <c r="I23" s="22">
        <f t="shared" si="2"/>
        <v>4.9714143673875218E-3</v>
      </c>
      <c r="J23" s="21">
        <f t="shared" si="3"/>
        <v>18.300048828119998</v>
      </c>
      <c r="K23" s="21">
        <f t="shared" si="4"/>
        <v>0.9097712566800894</v>
      </c>
      <c r="L23" s="19"/>
      <c r="M23" s="19"/>
      <c r="N23" s="19"/>
    </row>
    <row r="24" spans="1:14" x14ac:dyDescent="0.25">
      <c r="A24" s="5">
        <v>45839</v>
      </c>
      <c r="B24" s="21">
        <v>2012.09997558593</v>
      </c>
      <c r="C24" s="21">
        <v>2016</v>
      </c>
      <c r="D24" s="21">
        <v>2004</v>
      </c>
      <c r="E24" s="21">
        <v>2005</v>
      </c>
      <c r="F24" s="21">
        <v>7194693</v>
      </c>
      <c r="G24" s="21">
        <f t="shared" si="0"/>
        <v>-7.0999755859299967</v>
      </c>
      <c r="H24" s="21">
        <f t="shared" si="1"/>
        <v>0</v>
      </c>
      <c r="I24" s="22">
        <f t="shared" si="2"/>
        <v>-3.541134955576058E-3</v>
      </c>
      <c r="J24" s="21">
        <f t="shared" si="3"/>
        <v>12</v>
      </c>
      <c r="K24" s="21">
        <f t="shared" si="4"/>
        <v>0.59850374064837908</v>
      </c>
      <c r="L24" s="19"/>
      <c r="M24" s="19"/>
      <c r="N24" s="19"/>
    </row>
    <row r="25" spans="1:14" x14ac:dyDescent="0.25">
      <c r="A25" s="5">
        <v>45840</v>
      </c>
      <c r="B25" s="21">
        <v>1986</v>
      </c>
      <c r="C25" s="21">
        <v>2019.90002441406</v>
      </c>
      <c r="D25" s="21">
        <v>1977.90002441406</v>
      </c>
      <c r="E25" s="21">
        <v>2019.90002441406</v>
      </c>
      <c r="F25" s="21">
        <v>9439125</v>
      </c>
      <c r="G25" s="21">
        <f t="shared" si="0"/>
        <v>33.900024414059999</v>
      </c>
      <c r="H25" s="21">
        <f t="shared" si="1"/>
        <v>1</v>
      </c>
      <c r="I25" s="22">
        <f t="shared" si="2"/>
        <v>1.678302094376866E-2</v>
      </c>
      <c r="J25" s="21">
        <f t="shared" si="3"/>
        <v>42</v>
      </c>
      <c r="K25" s="21">
        <f t="shared" si="4"/>
        <v>2.0793108318409725</v>
      </c>
      <c r="L25" s="19"/>
      <c r="M25" s="19"/>
      <c r="N25" s="19"/>
    </row>
    <row r="26" spans="1:14" x14ac:dyDescent="0.25">
      <c r="A26" s="5">
        <v>45841</v>
      </c>
      <c r="B26" s="21">
        <v>1987.09997558593</v>
      </c>
      <c r="C26" s="21">
        <v>2008</v>
      </c>
      <c r="D26" s="21">
        <v>1984.30004882812</v>
      </c>
      <c r="E26" s="21">
        <v>1994.90002441406</v>
      </c>
      <c r="F26" s="21">
        <v>8429755</v>
      </c>
      <c r="G26" s="21">
        <f t="shared" si="0"/>
        <v>7.8000488281300022</v>
      </c>
      <c r="H26" s="21">
        <f t="shared" si="1"/>
        <v>1</v>
      </c>
      <c r="I26" s="22">
        <f t="shared" si="2"/>
        <v>3.9099948532112655E-3</v>
      </c>
      <c r="J26" s="21">
        <f t="shared" si="3"/>
        <v>23.699951171880002</v>
      </c>
      <c r="K26" s="21">
        <f t="shared" si="4"/>
        <v>1.1880270129748043</v>
      </c>
      <c r="L26" s="19"/>
      <c r="M26" s="19"/>
      <c r="N26" s="19"/>
    </row>
  </sheetData>
  <conditionalFormatting sqref="G4:I26">
    <cfRule type="cellIs" dxfId="12" priority="2" operator="lessThan">
      <formula>0</formula>
    </cfRule>
    <cfRule type="cellIs" dxfId="11" priority="3" operator="greaterThan">
      <formula>0</formula>
    </cfRule>
  </conditionalFormatting>
  <conditionalFormatting sqref="G18:I18">
    <cfRule type="cellIs" dxfId="1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5435-F6D3-4851-BE0C-381A8CE9159F}">
  <dimension ref="A1:N26"/>
  <sheetViews>
    <sheetView workbookViewId="0">
      <selection activeCell="N9" sqref="N9"/>
    </sheetView>
  </sheetViews>
  <sheetFormatPr defaultRowHeight="15" x14ac:dyDescent="0.25"/>
  <cols>
    <col min="1" max="1" width="8.42578125" style="4" bestFit="1" customWidth="1"/>
    <col min="2" max="6" width="10.85546875" style="3" bestFit="1" customWidth="1"/>
    <col min="7" max="7" width="14.7109375" bestFit="1" customWidth="1"/>
    <col min="8" max="8" width="4" hidden="1" customWidth="1"/>
    <col min="9" max="9" width="13.5703125" bestFit="1" customWidth="1"/>
    <col min="10" max="10" width="11.85546875" bestFit="1" customWidth="1"/>
    <col min="11" max="11" width="8.7109375" bestFit="1" customWidth="1"/>
    <col min="13" max="13" width="25.7109375" bestFit="1" customWidth="1"/>
  </cols>
  <sheetData>
    <row r="1" spans="1:1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5" t="s">
        <v>14</v>
      </c>
      <c r="H1" s="4"/>
      <c r="I1" s="4" t="s">
        <v>14</v>
      </c>
      <c r="J1" s="4" t="s">
        <v>15</v>
      </c>
      <c r="K1" s="5" t="s">
        <v>16</v>
      </c>
      <c r="L1" s="25"/>
      <c r="M1" s="25"/>
      <c r="N1" s="25"/>
    </row>
    <row r="2" spans="1:14" hidden="1" x14ac:dyDescent="0.25">
      <c r="A2" s="4" t="s">
        <v>6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/>
      <c r="H2" s="3"/>
      <c r="I2" s="3"/>
      <c r="J2" s="3"/>
      <c r="K2" s="3"/>
      <c r="L2" s="19"/>
      <c r="M2" s="19"/>
      <c r="N2" s="19"/>
    </row>
    <row r="3" spans="1:14" ht="15.75" thickBot="1" x14ac:dyDescent="0.3">
      <c r="A3" s="4" t="s">
        <v>8</v>
      </c>
      <c r="G3" s="3"/>
      <c r="H3" s="3"/>
      <c r="I3" s="3"/>
      <c r="J3" s="3"/>
      <c r="K3" s="3"/>
      <c r="L3" s="19"/>
      <c r="M3" s="19"/>
      <c r="N3" s="19"/>
    </row>
    <row r="4" spans="1:14" x14ac:dyDescent="0.25">
      <c r="A4" s="5">
        <v>45811</v>
      </c>
      <c r="B4" s="21">
        <v>1437.90002441406</v>
      </c>
      <c r="C4" s="21">
        <v>1455</v>
      </c>
      <c r="D4" s="21">
        <v>1432</v>
      </c>
      <c r="E4" s="21">
        <v>1454.90002441406</v>
      </c>
      <c r="F4" s="21">
        <v>11167345</v>
      </c>
      <c r="G4" s="21">
        <f>E4-B4</f>
        <v>17</v>
      </c>
      <c r="H4" s="21">
        <f>IF(G4&gt;0, 1, 0)</f>
        <v>1</v>
      </c>
      <c r="I4" s="22">
        <f>G4/E4</f>
        <v>1.168465167003245E-2</v>
      </c>
      <c r="J4" s="21">
        <f>C4-D4</f>
        <v>23</v>
      </c>
      <c r="K4" s="21">
        <f>J4/E4*100</f>
        <v>1.5808646377102726</v>
      </c>
      <c r="L4" s="19"/>
      <c r="M4" s="10" t="s">
        <v>17</v>
      </c>
      <c r="N4" s="11">
        <f>AVERAGE(I4:I26)</f>
        <v>-1.7188375681249568E-4</v>
      </c>
    </row>
    <row r="5" spans="1:14" x14ac:dyDescent="0.25">
      <c r="A5" s="5">
        <v>45812</v>
      </c>
      <c r="B5" s="21">
        <v>1431</v>
      </c>
      <c r="C5" s="21">
        <v>1440.09997558593</v>
      </c>
      <c r="D5" s="21">
        <v>1426.40002441406</v>
      </c>
      <c r="E5" s="21">
        <v>1437.40002441406</v>
      </c>
      <c r="F5" s="21">
        <v>8025388</v>
      </c>
      <c r="G5" s="21">
        <f t="shared" ref="G5:G26" si="0">E5-B5</f>
        <v>6.4000244140599989</v>
      </c>
      <c r="H5" s="21">
        <f t="shared" ref="H5:H26" si="1">IF(G5&gt;0, 1, 0)</f>
        <v>1</v>
      </c>
      <c r="I5" s="22">
        <f t="shared" ref="I5:I26" si="2">G5/E5</f>
        <v>4.4525005602868949E-3</v>
      </c>
      <c r="J5" s="21">
        <f t="shared" ref="J5:J26" si="3">C5-D5</f>
        <v>13.699951171869998</v>
      </c>
      <c r="K5" s="21">
        <f t="shared" ref="K5:K26" si="4">J5/E5*100</f>
        <v>0.95310636838583807</v>
      </c>
      <c r="L5" s="19"/>
      <c r="M5" s="12" t="s">
        <v>18</v>
      </c>
      <c r="N5" s="14">
        <f>AVERAGE(K4:K26)</f>
        <v>1.4128678639129779</v>
      </c>
    </row>
    <row r="6" spans="1:14" x14ac:dyDescent="0.25">
      <c r="A6" s="5">
        <v>45813</v>
      </c>
      <c r="B6" s="21">
        <v>1454.80004882812</v>
      </c>
      <c r="C6" s="21">
        <v>1459</v>
      </c>
      <c r="D6" s="21">
        <v>1427.30004882812</v>
      </c>
      <c r="E6" s="21">
        <v>1430.90002441406</v>
      </c>
      <c r="F6" s="21">
        <v>11385668</v>
      </c>
      <c r="G6" s="21">
        <f t="shared" si="0"/>
        <v>-23.900024414059999</v>
      </c>
      <c r="H6" s="21">
        <f t="shared" si="1"/>
        <v>0</v>
      </c>
      <c r="I6" s="22">
        <f t="shared" si="2"/>
        <v>-1.6702791254648859E-2</v>
      </c>
      <c r="J6" s="21">
        <f t="shared" si="3"/>
        <v>31.699951171880002</v>
      </c>
      <c r="K6" s="21">
        <f t="shared" si="4"/>
        <v>2.2153854658616581</v>
      </c>
      <c r="L6" s="19"/>
      <c r="M6" s="12" t="s">
        <v>19</v>
      </c>
      <c r="N6" s="14">
        <f>MAX(G4:G26)</f>
        <v>30.199951171880002</v>
      </c>
    </row>
    <row r="7" spans="1:14" x14ac:dyDescent="0.25">
      <c r="A7" s="5">
        <v>45814</v>
      </c>
      <c r="B7" s="21">
        <v>1459.69995117187</v>
      </c>
      <c r="C7" s="21">
        <v>1461.40002441406</v>
      </c>
      <c r="D7" s="21">
        <v>1442.09997558593</v>
      </c>
      <c r="E7" s="21">
        <v>1448.59997558593</v>
      </c>
      <c r="F7" s="21">
        <v>11580994</v>
      </c>
      <c r="G7" s="21">
        <f t="shared" si="0"/>
        <v>-11.099975585940001</v>
      </c>
      <c r="H7" s="21">
        <f t="shared" si="1"/>
        <v>0</v>
      </c>
      <c r="I7" s="22">
        <f t="shared" si="2"/>
        <v>-7.6625540335593899E-3</v>
      </c>
      <c r="J7" s="21">
        <f t="shared" si="3"/>
        <v>19.300048828130002</v>
      </c>
      <c r="K7" s="21">
        <f t="shared" si="4"/>
        <v>1.3323242546876004</v>
      </c>
      <c r="L7" s="19"/>
      <c r="M7" s="12" t="s">
        <v>20</v>
      </c>
      <c r="N7" s="14">
        <f>MIN(G4:G26)</f>
        <v>-23.900024414059999</v>
      </c>
    </row>
    <row r="8" spans="1:14" x14ac:dyDescent="0.25">
      <c r="A8" s="5">
        <v>45817</v>
      </c>
      <c r="B8" s="21">
        <v>1434.80004882812</v>
      </c>
      <c r="C8" s="21">
        <v>1466.80004882812</v>
      </c>
      <c r="D8" s="21">
        <v>1433.40002441406</v>
      </c>
      <c r="E8" s="21">
        <v>1465</v>
      </c>
      <c r="F8" s="21">
        <v>11022031</v>
      </c>
      <c r="G8" s="21">
        <f t="shared" si="0"/>
        <v>30.199951171880002</v>
      </c>
      <c r="H8" s="21">
        <f t="shared" si="1"/>
        <v>1</v>
      </c>
      <c r="I8" s="22">
        <f t="shared" si="2"/>
        <v>2.0614301141215017E-2</v>
      </c>
      <c r="J8" s="21">
        <f t="shared" si="3"/>
        <v>33.400024414059999</v>
      </c>
      <c r="K8" s="21">
        <f t="shared" si="4"/>
        <v>2.2798651477174059</v>
      </c>
      <c r="L8" s="19"/>
      <c r="M8" s="12" t="s">
        <v>21</v>
      </c>
      <c r="N8" s="15">
        <f>AVERAGE(F4:F26)</f>
        <v>9878170.6956521738</v>
      </c>
    </row>
    <row r="9" spans="1:14" x14ac:dyDescent="0.25">
      <c r="A9" s="5">
        <v>45818</v>
      </c>
      <c r="B9" s="21">
        <v>1422.90002441406</v>
      </c>
      <c r="C9" s="21">
        <v>1441.69995117187</v>
      </c>
      <c r="D9" s="21">
        <v>1416.5</v>
      </c>
      <c r="E9" s="21">
        <v>1439</v>
      </c>
      <c r="F9" s="21">
        <v>12905272</v>
      </c>
      <c r="G9" s="21">
        <f t="shared" si="0"/>
        <v>16.099975585940001</v>
      </c>
      <c r="H9" s="21">
        <f t="shared" si="1"/>
        <v>1</v>
      </c>
      <c r="I9" s="22">
        <f t="shared" si="2"/>
        <v>1.1188308259861016E-2</v>
      </c>
      <c r="J9" s="21">
        <f t="shared" si="3"/>
        <v>25.199951171869998</v>
      </c>
      <c r="K9" s="21">
        <f t="shared" si="4"/>
        <v>1.7512127291084085</v>
      </c>
      <c r="L9" s="19"/>
      <c r="M9" s="12" t="s">
        <v>22</v>
      </c>
      <c r="N9" s="16">
        <f>COUNTIF(G4:G24,"&gt;0")/COUNTA(G4:G24)</f>
        <v>0.47619047619047616</v>
      </c>
    </row>
    <row r="10" spans="1:14" x14ac:dyDescent="0.25">
      <c r="A10" s="5">
        <v>45819</v>
      </c>
      <c r="B10" s="21">
        <v>1431</v>
      </c>
      <c r="C10" s="21">
        <v>1434.5</v>
      </c>
      <c r="D10" s="21">
        <v>1418.59997558593</v>
      </c>
      <c r="E10" s="21">
        <v>1421.80004882812</v>
      </c>
      <c r="F10" s="21">
        <v>7136877</v>
      </c>
      <c r="G10" s="21">
        <f t="shared" si="0"/>
        <v>-9.1999511718800022</v>
      </c>
      <c r="H10" s="21">
        <f t="shared" si="1"/>
        <v>0</v>
      </c>
      <c r="I10" s="22">
        <f t="shared" si="2"/>
        <v>-6.4706364157624072E-3</v>
      </c>
      <c r="J10" s="21">
        <f t="shared" si="3"/>
        <v>15.900024414070003</v>
      </c>
      <c r="K10" s="21">
        <f t="shared" si="4"/>
        <v>1.1183024242526343</v>
      </c>
      <c r="L10" s="19"/>
      <c r="M10" s="12" t="s">
        <v>23</v>
      </c>
      <c r="N10" s="17">
        <f>SUM(H4:H26)</f>
        <v>12</v>
      </c>
    </row>
    <row r="11" spans="1:14" ht="15.75" thickBot="1" x14ac:dyDescent="0.3">
      <c r="A11" s="5">
        <v>45820</v>
      </c>
      <c r="B11" s="21">
        <v>1425.19995117187</v>
      </c>
      <c r="C11" s="21">
        <v>1436.5</v>
      </c>
      <c r="D11" s="21">
        <v>1420</v>
      </c>
      <c r="E11" s="21">
        <v>1430.5</v>
      </c>
      <c r="F11" s="21">
        <v>7953247</v>
      </c>
      <c r="G11" s="21">
        <f t="shared" si="0"/>
        <v>5.3000488281300022</v>
      </c>
      <c r="H11" s="21">
        <f t="shared" si="1"/>
        <v>1</v>
      </c>
      <c r="I11" s="22">
        <f t="shared" si="2"/>
        <v>3.7050323859699422E-3</v>
      </c>
      <c r="J11" s="21">
        <f t="shared" si="3"/>
        <v>16.5</v>
      </c>
      <c r="K11" s="21">
        <f t="shared" si="4"/>
        <v>1.1534428521495981</v>
      </c>
      <c r="L11" s="19"/>
      <c r="M11" s="13" t="s">
        <v>37</v>
      </c>
      <c r="N11" s="28">
        <f>_xlfn.STDEV.P(G4:G30)</f>
        <v>13.431929601142947</v>
      </c>
    </row>
    <row r="12" spans="1:14" x14ac:dyDescent="0.25">
      <c r="A12" s="5">
        <v>45821</v>
      </c>
      <c r="B12" s="21">
        <v>1416.09997558593</v>
      </c>
      <c r="C12" s="21">
        <v>1421.5</v>
      </c>
      <c r="D12" s="21">
        <v>1403.59997558593</v>
      </c>
      <c r="E12" s="21">
        <v>1403.59997558593</v>
      </c>
      <c r="F12" s="21">
        <v>7573103</v>
      </c>
      <c r="G12" s="21">
        <f t="shared" si="0"/>
        <v>-12.5</v>
      </c>
      <c r="H12" s="21">
        <f t="shared" si="1"/>
        <v>0</v>
      </c>
      <c r="I12" s="22">
        <f t="shared" si="2"/>
        <v>-8.9056712862807651E-3</v>
      </c>
      <c r="J12" s="21">
        <f t="shared" si="3"/>
        <v>17.900024414070003</v>
      </c>
      <c r="K12" s="21">
        <f t="shared" si="4"/>
        <v>1.2752938675848633</v>
      </c>
      <c r="L12" s="19"/>
      <c r="M12" s="19"/>
      <c r="N12" s="19"/>
    </row>
    <row r="13" spans="1:14" x14ac:dyDescent="0.25">
      <c r="A13" s="5">
        <v>45824</v>
      </c>
      <c r="B13" s="21">
        <v>1426.90002441406</v>
      </c>
      <c r="C13" s="21">
        <v>1429</v>
      </c>
      <c r="D13" s="21">
        <v>1414.19995117187</v>
      </c>
      <c r="E13" s="21">
        <v>1416.59997558593</v>
      </c>
      <c r="F13" s="21">
        <v>5451137</v>
      </c>
      <c r="G13" s="21">
        <f t="shared" si="0"/>
        <v>-10.300048828130002</v>
      </c>
      <c r="H13" s="21">
        <f t="shared" si="1"/>
        <v>0</v>
      </c>
      <c r="I13" s="22">
        <f t="shared" si="2"/>
        <v>-7.2709649905716859E-3</v>
      </c>
      <c r="J13" s="21">
        <f t="shared" si="3"/>
        <v>14.800048828130002</v>
      </c>
      <c r="K13" s="21">
        <f t="shared" si="4"/>
        <v>1.0447585121557306</v>
      </c>
      <c r="L13" s="19"/>
      <c r="M13" s="19"/>
      <c r="N13" s="19"/>
    </row>
    <row r="14" spans="1:14" x14ac:dyDescent="0.25">
      <c r="A14" s="5">
        <v>45825</v>
      </c>
      <c r="B14" s="21">
        <v>1423.19995117187</v>
      </c>
      <c r="C14" s="21">
        <v>1429.80004882812</v>
      </c>
      <c r="D14" s="21">
        <v>1417.80004882812</v>
      </c>
      <c r="E14" s="21">
        <v>1426.90002441406</v>
      </c>
      <c r="F14" s="21">
        <v>6970098</v>
      </c>
      <c r="G14" s="21">
        <f t="shared" si="0"/>
        <v>3.7000732421900011</v>
      </c>
      <c r="H14" s="21">
        <f t="shared" si="1"/>
        <v>1</v>
      </c>
      <c r="I14" s="22">
        <f t="shared" si="2"/>
        <v>2.5930851348253312E-3</v>
      </c>
      <c r="J14" s="21">
        <f t="shared" si="3"/>
        <v>12</v>
      </c>
      <c r="K14" s="21">
        <f t="shared" si="4"/>
        <v>0.84098393683381301</v>
      </c>
      <c r="L14" s="19"/>
      <c r="M14" s="19"/>
      <c r="N14" s="19"/>
    </row>
    <row r="15" spans="1:14" x14ac:dyDescent="0.25">
      <c r="A15" s="5">
        <v>45826</v>
      </c>
      <c r="B15" s="21">
        <v>1412.59997558593</v>
      </c>
      <c r="C15" s="21">
        <v>1432</v>
      </c>
      <c r="D15" s="21">
        <v>1410.19995117187</v>
      </c>
      <c r="E15" s="21">
        <v>1417</v>
      </c>
      <c r="F15" s="21">
        <v>6751745</v>
      </c>
      <c r="G15" s="21">
        <f t="shared" si="0"/>
        <v>4.4000244140700033</v>
      </c>
      <c r="H15" s="21">
        <f t="shared" si="1"/>
        <v>1</v>
      </c>
      <c r="I15" s="22">
        <f t="shared" si="2"/>
        <v>3.1051689584121406E-3</v>
      </c>
      <c r="J15" s="21">
        <f t="shared" si="3"/>
        <v>21.800048828130002</v>
      </c>
      <c r="K15" s="21">
        <f t="shared" si="4"/>
        <v>1.5384649843422726</v>
      </c>
      <c r="L15" s="19"/>
      <c r="M15" s="19"/>
      <c r="N15" s="19"/>
    </row>
    <row r="16" spans="1:14" x14ac:dyDescent="0.25">
      <c r="A16" s="5">
        <v>45827</v>
      </c>
      <c r="B16" s="21">
        <v>1411.30004882812</v>
      </c>
      <c r="C16" s="21">
        <v>1414.69995117187</v>
      </c>
      <c r="D16" s="21">
        <v>1404.69995117187</v>
      </c>
      <c r="E16" s="21">
        <v>1408</v>
      </c>
      <c r="F16" s="21">
        <v>8849883</v>
      </c>
      <c r="G16" s="21">
        <f t="shared" si="0"/>
        <v>-3.3000488281199978</v>
      </c>
      <c r="H16" s="21">
        <f t="shared" si="1"/>
        <v>0</v>
      </c>
      <c r="I16" s="22">
        <f t="shared" si="2"/>
        <v>-2.3437846790624983E-3</v>
      </c>
      <c r="J16" s="21">
        <f t="shared" si="3"/>
        <v>10</v>
      </c>
      <c r="K16" s="21">
        <f t="shared" si="4"/>
        <v>0.71022727272727271</v>
      </c>
      <c r="L16" s="19"/>
      <c r="M16" s="19"/>
      <c r="N16" s="19"/>
    </row>
    <row r="17" spans="1:14" x14ac:dyDescent="0.25">
      <c r="A17" s="5">
        <v>45828</v>
      </c>
      <c r="B17" s="21">
        <v>1427.09997558593</v>
      </c>
      <c r="C17" s="21">
        <v>1433.30004882812</v>
      </c>
      <c r="D17" s="21">
        <v>1410.19995117187</v>
      </c>
      <c r="E17" s="21">
        <v>1411.30004882812</v>
      </c>
      <c r="F17" s="21">
        <v>12408178</v>
      </c>
      <c r="G17" s="21">
        <f t="shared" si="0"/>
        <v>-15.799926757809999</v>
      </c>
      <c r="H17" s="21">
        <f t="shared" si="1"/>
        <v>0</v>
      </c>
      <c r="I17" s="22">
        <f t="shared" si="2"/>
        <v>-1.1195299518999908E-2</v>
      </c>
      <c r="J17" s="21">
        <f t="shared" si="3"/>
        <v>23.10009765625</v>
      </c>
      <c r="K17" s="21">
        <f t="shared" si="4"/>
        <v>1.6367956392711305</v>
      </c>
      <c r="L17" s="19"/>
      <c r="M17" s="19"/>
      <c r="N17" s="19"/>
    </row>
    <row r="18" spans="1:14" x14ac:dyDescent="0.25">
      <c r="A18" s="5">
        <v>45831</v>
      </c>
      <c r="B18" s="21">
        <v>1420.09997558593</v>
      </c>
      <c r="C18" s="21">
        <v>1423.19995117187</v>
      </c>
      <c r="D18" s="21">
        <v>1411.90002441406</v>
      </c>
      <c r="E18" s="21">
        <v>1417</v>
      </c>
      <c r="F18" s="21">
        <v>5514384</v>
      </c>
      <c r="G18" s="21">
        <f t="shared" si="0"/>
        <v>-3.0999755859299967</v>
      </c>
      <c r="H18" s="21">
        <f t="shared" si="1"/>
        <v>0</v>
      </c>
      <c r="I18" s="22">
        <f t="shared" si="2"/>
        <v>-2.1877033069371888E-3</v>
      </c>
      <c r="J18" s="21">
        <f t="shared" si="3"/>
        <v>11.299926757809999</v>
      </c>
      <c r="K18" s="21">
        <f t="shared" si="4"/>
        <v>0.79745425249188417</v>
      </c>
      <c r="L18" s="19"/>
      <c r="M18" s="19"/>
      <c r="N18" s="19"/>
    </row>
    <row r="19" spans="1:14" x14ac:dyDescent="0.25">
      <c r="A19" s="5">
        <v>45832</v>
      </c>
      <c r="B19" s="21">
        <v>1424.09997558593</v>
      </c>
      <c r="C19" s="21">
        <v>1435.90002441406</v>
      </c>
      <c r="D19" s="21">
        <v>1416.5</v>
      </c>
      <c r="E19" s="21">
        <v>1427.69995117187</v>
      </c>
      <c r="F19" s="21">
        <v>11188438</v>
      </c>
      <c r="G19" s="21">
        <f t="shared" si="0"/>
        <v>3.5999755859400011</v>
      </c>
      <c r="H19" s="21">
        <f t="shared" si="1"/>
        <v>1</v>
      </c>
      <c r="I19" s="22">
        <f t="shared" si="2"/>
        <v>2.5215211242285932E-3</v>
      </c>
      <c r="J19" s="21">
        <f t="shared" si="3"/>
        <v>19.400024414059999</v>
      </c>
      <c r="K19" s="21">
        <f t="shared" si="4"/>
        <v>1.3588306421203047</v>
      </c>
      <c r="L19" s="19"/>
      <c r="M19" s="19"/>
      <c r="N19" s="19"/>
    </row>
    <row r="20" spans="1:14" x14ac:dyDescent="0.25">
      <c r="A20" s="5">
        <v>45833</v>
      </c>
      <c r="B20" s="21">
        <v>1425.80004882812</v>
      </c>
      <c r="C20" s="21">
        <v>1428.90002441406</v>
      </c>
      <c r="D20" s="21">
        <v>1415.30004882812</v>
      </c>
      <c r="E20" s="21">
        <v>1422</v>
      </c>
      <c r="F20" s="21">
        <v>7527388</v>
      </c>
      <c r="G20" s="21">
        <f t="shared" si="0"/>
        <v>-3.8000488281199978</v>
      </c>
      <c r="H20" s="21">
        <f t="shared" si="1"/>
        <v>0</v>
      </c>
      <c r="I20" s="22">
        <f t="shared" si="2"/>
        <v>-2.6723268833473966E-3</v>
      </c>
      <c r="J20" s="21">
        <f t="shared" si="3"/>
        <v>13.599975585940001</v>
      </c>
      <c r="K20" s="21">
        <f t="shared" si="4"/>
        <v>0.95639772053023908</v>
      </c>
      <c r="L20" s="19"/>
      <c r="M20" s="19"/>
      <c r="N20" s="19"/>
    </row>
    <row r="21" spans="1:14" x14ac:dyDescent="0.25">
      <c r="A21" s="5">
        <v>45834</v>
      </c>
      <c r="B21" s="21">
        <v>1439.09997558593</v>
      </c>
      <c r="C21" s="21">
        <v>1447.5</v>
      </c>
      <c r="D21" s="21">
        <v>1421.69995117187</v>
      </c>
      <c r="E21" s="21">
        <v>1424.80004882812</v>
      </c>
      <c r="F21" s="21">
        <v>13617435</v>
      </c>
      <c r="G21" s="21">
        <f t="shared" si="0"/>
        <v>-14.299926757809999</v>
      </c>
      <c r="H21" s="21">
        <f t="shared" si="1"/>
        <v>0</v>
      </c>
      <c r="I21" s="22">
        <f t="shared" si="2"/>
        <v>-1.0036444601171587E-2</v>
      </c>
      <c r="J21" s="21">
        <f t="shared" si="3"/>
        <v>25.800048828130002</v>
      </c>
      <c r="K21" s="21">
        <f t="shared" si="4"/>
        <v>1.810783825376074</v>
      </c>
      <c r="L21" s="19"/>
      <c r="M21" s="19"/>
      <c r="N21" s="19"/>
    </row>
    <row r="22" spans="1:14" x14ac:dyDescent="0.25">
      <c r="A22" s="5">
        <v>45835</v>
      </c>
      <c r="B22" s="21">
        <v>1462.19995117187</v>
      </c>
      <c r="C22" s="21">
        <v>1466</v>
      </c>
      <c r="D22" s="21">
        <v>1437.09997558593</v>
      </c>
      <c r="E22" s="21">
        <v>1438.90002441406</v>
      </c>
      <c r="F22" s="21">
        <v>22532899</v>
      </c>
      <c r="G22" s="21">
        <f t="shared" si="0"/>
        <v>-23.299926757809999</v>
      </c>
      <c r="H22" s="21">
        <f t="shared" si="1"/>
        <v>0</v>
      </c>
      <c r="I22" s="22">
        <f t="shared" si="2"/>
        <v>-1.6192873974894852E-2</v>
      </c>
      <c r="J22" s="21">
        <f t="shared" si="3"/>
        <v>28.900024414070003</v>
      </c>
      <c r="K22" s="21">
        <f t="shared" si="4"/>
        <v>2.0084803616455904</v>
      </c>
      <c r="L22" s="19"/>
      <c r="M22" s="19"/>
      <c r="N22" s="19"/>
    </row>
    <row r="23" spans="1:14" x14ac:dyDescent="0.25">
      <c r="A23" s="5">
        <v>45838</v>
      </c>
      <c r="B23" s="21">
        <v>1445.80004882812</v>
      </c>
      <c r="C23" s="21">
        <v>1461.90002441406</v>
      </c>
      <c r="D23" s="21">
        <v>1442.30004882812</v>
      </c>
      <c r="E23" s="21">
        <v>1461.80004882812</v>
      </c>
      <c r="F23" s="21">
        <v>6325073</v>
      </c>
      <c r="G23" s="21">
        <f t="shared" si="0"/>
        <v>16</v>
      </c>
      <c r="H23" s="21">
        <f t="shared" si="1"/>
        <v>1</v>
      </c>
      <c r="I23" s="22">
        <f t="shared" si="2"/>
        <v>1.0945409403171595E-2</v>
      </c>
      <c r="J23" s="21">
        <f t="shared" si="3"/>
        <v>19.599975585940001</v>
      </c>
      <c r="K23" s="21">
        <f t="shared" si="4"/>
        <v>1.3408109817517584</v>
      </c>
      <c r="L23" s="19"/>
      <c r="M23" s="19"/>
      <c r="N23" s="19"/>
    </row>
    <row r="24" spans="1:14" x14ac:dyDescent="0.25">
      <c r="A24" s="5">
        <v>45839</v>
      </c>
      <c r="B24" s="21">
        <v>1432</v>
      </c>
      <c r="C24" s="21">
        <v>1447.59997558593</v>
      </c>
      <c r="D24" s="21">
        <v>1429.59997558593</v>
      </c>
      <c r="E24" s="21">
        <v>1445.69995117187</v>
      </c>
      <c r="F24" s="21">
        <v>7761449</v>
      </c>
      <c r="G24" s="21">
        <f t="shared" si="0"/>
        <v>13.699951171869998</v>
      </c>
      <c r="H24" s="21">
        <f t="shared" si="1"/>
        <v>1</v>
      </c>
      <c r="I24" s="22">
        <f t="shared" si="2"/>
        <v>9.4763447704103148E-3</v>
      </c>
      <c r="J24" s="21">
        <f t="shared" si="3"/>
        <v>18</v>
      </c>
      <c r="K24" s="21">
        <f t="shared" si="4"/>
        <v>1.2450716336684786</v>
      </c>
      <c r="L24" s="19"/>
      <c r="M24" s="19"/>
      <c r="N24" s="19"/>
    </row>
    <row r="25" spans="1:14" x14ac:dyDescent="0.25">
      <c r="A25" s="5">
        <v>45840</v>
      </c>
      <c r="B25" s="21">
        <v>1427.80004882812</v>
      </c>
      <c r="C25" s="21">
        <v>1451</v>
      </c>
      <c r="D25" s="21">
        <v>1422.59997558593</v>
      </c>
      <c r="E25" s="21">
        <v>1432.19995117187</v>
      </c>
      <c r="F25" s="21">
        <v>13372280</v>
      </c>
      <c r="G25" s="21">
        <f t="shared" si="0"/>
        <v>4.39990234375</v>
      </c>
      <c r="H25" s="21">
        <f t="shared" si="1"/>
        <v>1</v>
      </c>
      <c r="I25" s="22">
        <f t="shared" si="2"/>
        <v>3.0721285391399887E-3</v>
      </c>
      <c r="J25" s="21">
        <f t="shared" si="3"/>
        <v>28.400024414070003</v>
      </c>
      <c r="K25" s="21">
        <f t="shared" si="4"/>
        <v>1.982965045546345</v>
      </c>
      <c r="L25" s="19"/>
      <c r="M25" s="19"/>
      <c r="N25" s="19"/>
    </row>
    <row r="26" spans="1:14" x14ac:dyDescent="0.25">
      <c r="A26" s="5">
        <v>45841</v>
      </c>
      <c r="B26" s="21">
        <v>1425.90002441406</v>
      </c>
      <c r="C26" s="21">
        <v>1446.09997558593</v>
      </c>
      <c r="D26" s="21">
        <v>1423.69995117187</v>
      </c>
      <c r="E26" s="21">
        <v>1432.09997558593</v>
      </c>
      <c r="F26" s="21">
        <v>10177614</v>
      </c>
      <c r="G26" s="21">
        <f t="shared" si="0"/>
        <v>6.1999511718699978</v>
      </c>
      <c r="H26" s="21">
        <f t="shared" si="1"/>
        <v>1</v>
      </c>
      <c r="I26" s="22">
        <f t="shared" si="2"/>
        <v>4.3292725909958533E-3</v>
      </c>
      <c r="J26" s="21">
        <f t="shared" si="3"/>
        <v>22.400024414059999</v>
      </c>
      <c r="K26" s="21">
        <f t="shared" si="4"/>
        <v>1.5641383140793115</v>
      </c>
      <c r="L26" s="19"/>
      <c r="M26" s="19"/>
      <c r="N26" s="19"/>
    </row>
  </sheetData>
  <conditionalFormatting sqref="G4:I26">
    <cfRule type="cellIs" dxfId="9" priority="1" operator="lessThan">
      <formula>0</formula>
    </cfRule>
    <cfRule type="cellIs" dxfId="8" priority="2" operator="greaterThan">
      <formula>0</formula>
    </cfRule>
    <cfRule type="cellIs" dxfId="7" priority="3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678C1-E090-43C9-B8DA-E1CC789EDCB9}">
  <dimension ref="A1:N26"/>
  <sheetViews>
    <sheetView workbookViewId="0">
      <selection activeCell="M18" sqref="M18"/>
    </sheetView>
  </sheetViews>
  <sheetFormatPr defaultRowHeight="15" x14ac:dyDescent="0.25"/>
  <cols>
    <col min="1" max="1" width="8.42578125" style="4" bestFit="1" customWidth="1"/>
    <col min="2" max="6" width="13.140625" style="3" bestFit="1" customWidth="1"/>
    <col min="7" max="7" width="14.7109375" bestFit="1" customWidth="1"/>
    <col min="8" max="8" width="4" hidden="1" customWidth="1"/>
    <col min="9" max="9" width="13.5703125" bestFit="1" customWidth="1"/>
    <col min="10" max="10" width="11.85546875" bestFit="1" customWidth="1"/>
    <col min="11" max="11" width="8.7109375" bestFit="1" customWidth="1"/>
    <col min="13" max="13" width="25.7109375" bestFit="1" customWidth="1"/>
  </cols>
  <sheetData>
    <row r="1" spans="1:1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6" t="s">
        <v>14</v>
      </c>
      <c r="H1" s="4"/>
      <c r="I1" s="4" t="s">
        <v>14</v>
      </c>
      <c r="J1" s="4" t="s">
        <v>15</v>
      </c>
      <c r="K1" s="5" t="s">
        <v>16</v>
      </c>
      <c r="L1" s="25"/>
      <c r="M1" s="25"/>
      <c r="N1" s="25"/>
    </row>
    <row r="2" spans="1:14" hidden="1" x14ac:dyDescent="0.25">
      <c r="A2" s="4" t="s">
        <v>6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/>
      <c r="H2" s="3"/>
      <c r="I2" s="3"/>
      <c r="J2" s="3"/>
      <c r="K2" s="3"/>
      <c r="L2" s="19"/>
      <c r="M2" s="19"/>
      <c r="N2" s="19"/>
    </row>
    <row r="3" spans="1:14" ht="15.75" thickBot="1" x14ac:dyDescent="0.3">
      <c r="A3" s="4" t="s">
        <v>8</v>
      </c>
      <c r="G3" s="3"/>
      <c r="H3" s="3"/>
      <c r="I3" s="3"/>
      <c r="J3" s="3"/>
      <c r="K3" s="3"/>
      <c r="L3" s="19"/>
      <c r="M3" s="19"/>
      <c r="N3" s="19"/>
    </row>
    <row r="4" spans="1:14" x14ac:dyDescent="0.25">
      <c r="A4" s="5">
        <v>45811</v>
      </c>
      <c r="B4" s="21">
        <v>800.84997558593705</v>
      </c>
      <c r="C4" s="21">
        <v>818.45001220703102</v>
      </c>
      <c r="D4" s="21">
        <v>798.15002441406205</v>
      </c>
      <c r="E4" s="21">
        <v>818.45001220703102</v>
      </c>
      <c r="F4" s="21">
        <v>3241313</v>
      </c>
      <c r="G4" s="21">
        <f>E4-B4</f>
        <v>17.600036621093977</v>
      </c>
      <c r="H4" s="21">
        <f>IF(G4&gt;0, 1, 0)</f>
        <v>1</v>
      </c>
      <c r="I4" s="22">
        <f>G4/E4</f>
        <v>2.1504106980991724E-2</v>
      </c>
      <c r="J4" s="21">
        <f>C4-D4</f>
        <v>20.299987792968977</v>
      </c>
      <c r="K4" s="21">
        <f>J4/E4*100</f>
        <v>2.4802965960288841</v>
      </c>
      <c r="L4" s="19"/>
      <c r="M4" s="10" t="s">
        <v>17</v>
      </c>
      <c r="N4" s="11">
        <f>AVERAGE(I4:I26)</f>
        <v>-1.2369748299413945E-3</v>
      </c>
    </row>
    <row r="5" spans="1:14" x14ac:dyDescent="0.25">
      <c r="A5" s="5">
        <v>45812</v>
      </c>
      <c r="B5" s="21">
        <v>814.34997558593705</v>
      </c>
      <c r="C5" s="21">
        <v>815.45001220703102</v>
      </c>
      <c r="D5" s="21">
        <v>803</v>
      </c>
      <c r="E5" s="21">
        <v>807.79998779296795</v>
      </c>
      <c r="F5" s="21">
        <v>3877545</v>
      </c>
      <c r="G5" s="21">
        <f t="shared" ref="G5:G26" si="0">E5-B5</f>
        <v>-6.5499877929690911</v>
      </c>
      <c r="H5" s="21">
        <f t="shared" ref="H5:H26" si="1">IF(G5&gt;0, 1, 0)</f>
        <v>0</v>
      </c>
      <c r="I5" s="22">
        <f t="shared" ref="I5:I26" si="2">G5/E5</f>
        <v>-8.1084276949107796E-3</v>
      </c>
      <c r="J5" s="21">
        <f t="shared" ref="J5:J26" si="3">C5-D5</f>
        <v>12.450012207031023</v>
      </c>
      <c r="K5" s="21">
        <f t="shared" ref="K5:K26" si="4">J5/E5*100</f>
        <v>1.5412246094539248</v>
      </c>
      <c r="L5" s="19"/>
      <c r="M5" s="12" t="s">
        <v>18</v>
      </c>
      <c r="N5" s="14">
        <f>AVERAGE(K4:K26)</f>
        <v>2.592205864890003</v>
      </c>
    </row>
    <row r="6" spans="1:14" x14ac:dyDescent="0.25">
      <c r="A6" s="5">
        <v>45813</v>
      </c>
      <c r="B6" s="21">
        <v>803.20001220703102</v>
      </c>
      <c r="C6" s="21">
        <v>818.5</v>
      </c>
      <c r="D6" s="21">
        <v>800.29998779296795</v>
      </c>
      <c r="E6" s="21">
        <v>817</v>
      </c>
      <c r="F6" s="21">
        <v>3366237</v>
      </c>
      <c r="G6" s="21">
        <f t="shared" si="0"/>
        <v>13.799987792968977</v>
      </c>
      <c r="H6" s="21">
        <f t="shared" si="1"/>
        <v>1</v>
      </c>
      <c r="I6" s="22">
        <f t="shared" si="2"/>
        <v>1.6891049930194586E-2</v>
      </c>
      <c r="J6" s="21">
        <f t="shared" si="3"/>
        <v>18.200012207032046</v>
      </c>
      <c r="K6" s="21">
        <f t="shared" si="4"/>
        <v>2.2276636728313397</v>
      </c>
      <c r="L6" s="19"/>
      <c r="M6" s="12" t="s">
        <v>19</v>
      </c>
      <c r="N6" s="14">
        <f>MAX(G4:G26)</f>
        <v>19.049987792968977</v>
      </c>
    </row>
    <row r="7" spans="1:14" x14ac:dyDescent="0.25">
      <c r="A7" s="5">
        <v>45814</v>
      </c>
      <c r="B7" s="21">
        <v>822.84997558593705</v>
      </c>
      <c r="C7" s="21">
        <v>845.84997558593705</v>
      </c>
      <c r="D7" s="21">
        <v>805</v>
      </c>
      <c r="E7" s="21">
        <v>807</v>
      </c>
      <c r="F7" s="21">
        <v>10916786</v>
      </c>
      <c r="G7" s="21">
        <f t="shared" si="0"/>
        <v>-15.849975585937045</v>
      </c>
      <c r="H7" s="21">
        <f t="shared" si="1"/>
        <v>0</v>
      </c>
      <c r="I7" s="22">
        <f t="shared" si="2"/>
        <v>-1.9640614108967839E-2</v>
      </c>
      <c r="J7" s="21">
        <f t="shared" si="3"/>
        <v>40.849975585937045</v>
      </c>
      <c r="K7" s="21">
        <f t="shared" si="4"/>
        <v>5.0619548433627068</v>
      </c>
      <c r="L7" s="19"/>
      <c r="M7" s="12" t="s">
        <v>20</v>
      </c>
      <c r="N7" s="14">
        <f>MIN(G4:G26)</f>
        <v>-32.450012207032046</v>
      </c>
    </row>
    <row r="8" spans="1:14" x14ac:dyDescent="0.25">
      <c r="A8" s="5">
        <v>45817</v>
      </c>
      <c r="B8" s="21">
        <v>836.65002441406205</v>
      </c>
      <c r="C8" s="21">
        <v>840</v>
      </c>
      <c r="D8" s="21">
        <v>821.5</v>
      </c>
      <c r="E8" s="21">
        <v>831.25</v>
      </c>
      <c r="F8" s="21">
        <v>6894267</v>
      </c>
      <c r="G8" s="21">
        <f t="shared" si="0"/>
        <v>-5.4000244140620453</v>
      </c>
      <c r="H8" s="21">
        <f t="shared" si="1"/>
        <v>0</v>
      </c>
      <c r="I8" s="22">
        <f t="shared" si="2"/>
        <v>-6.4962699718039644E-3</v>
      </c>
      <c r="J8" s="21">
        <f t="shared" si="3"/>
        <v>18.5</v>
      </c>
      <c r="K8" s="21">
        <f t="shared" si="4"/>
        <v>2.2255639097744364</v>
      </c>
      <c r="L8" s="19"/>
      <c r="M8" s="12" t="s">
        <v>21</v>
      </c>
      <c r="N8" s="15">
        <f>AVERAGE(F4:F26)</f>
        <v>6623818.0869565215</v>
      </c>
    </row>
    <row r="9" spans="1:14" x14ac:dyDescent="0.25">
      <c r="A9" s="5">
        <v>45818</v>
      </c>
      <c r="B9" s="21">
        <v>845.04998779296795</v>
      </c>
      <c r="C9" s="21">
        <v>857.34997558593705</v>
      </c>
      <c r="D9" s="21">
        <v>836</v>
      </c>
      <c r="E9" s="21">
        <v>838</v>
      </c>
      <c r="F9" s="21">
        <v>10162134</v>
      </c>
      <c r="G9" s="21">
        <f t="shared" si="0"/>
        <v>-7.0499877929679542</v>
      </c>
      <c r="H9" s="21">
        <f t="shared" si="1"/>
        <v>0</v>
      </c>
      <c r="I9" s="22">
        <f t="shared" si="2"/>
        <v>-8.4128732612982742E-3</v>
      </c>
      <c r="J9" s="21">
        <f t="shared" si="3"/>
        <v>21.349975585937045</v>
      </c>
      <c r="K9" s="21">
        <f t="shared" si="4"/>
        <v>2.5477297835247072</v>
      </c>
      <c r="L9" s="19"/>
      <c r="M9" s="12" t="s">
        <v>22</v>
      </c>
      <c r="N9" s="16">
        <f>COUNTIF(G4:G24,"&gt;0")/COUNTA(G4:G24)</f>
        <v>0.42857142857142855</v>
      </c>
    </row>
    <row r="10" spans="1:14" x14ac:dyDescent="0.25">
      <c r="A10" s="5">
        <v>45819</v>
      </c>
      <c r="B10" s="21">
        <v>836.29998779296795</v>
      </c>
      <c r="C10" s="21">
        <v>851.40002441406205</v>
      </c>
      <c r="D10" s="21">
        <v>834.45001220703102</v>
      </c>
      <c r="E10" s="21">
        <v>845.25</v>
      </c>
      <c r="F10" s="21">
        <v>2359273</v>
      </c>
      <c r="G10" s="21">
        <f t="shared" si="0"/>
        <v>8.9500122070320458</v>
      </c>
      <c r="H10" s="21">
        <f t="shared" si="1"/>
        <v>1</v>
      </c>
      <c r="I10" s="22">
        <f t="shared" si="2"/>
        <v>1.0588597701309726E-2</v>
      </c>
      <c r="J10" s="21">
        <f t="shared" si="3"/>
        <v>16.950012207031023</v>
      </c>
      <c r="K10" s="21">
        <f t="shared" si="4"/>
        <v>2.0053253128696862</v>
      </c>
      <c r="L10" s="19"/>
      <c r="M10" s="12" t="s">
        <v>23</v>
      </c>
      <c r="N10" s="17">
        <f>SUM(H4:H26)</f>
        <v>10</v>
      </c>
    </row>
    <row r="11" spans="1:14" ht="15.75" thickBot="1" x14ac:dyDescent="0.3">
      <c r="A11" s="5">
        <v>45820</v>
      </c>
      <c r="B11" s="21">
        <v>829.90002441406205</v>
      </c>
      <c r="C11" s="21">
        <v>843.15002441406205</v>
      </c>
      <c r="D11" s="21">
        <v>826</v>
      </c>
      <c r="E11" s="21">
        <v>837</v>
      </c>
      <c r="F11" s="21">
        <v>2742462</v>
      </c>
      <c r="G11" s="21">
        <f t="shared" si="0"/>
        <v>7.0999755859379547</v>
      </c>
      <c r="H11" s="21">
        <f t="shared" si="1"/>
        <v>1</v>
      </c>
      <c r="I11" s="22">
        <f t="shared" si="2"/>
        <v>8.482647056078799E-3</v>
      </c>
      <c r="J11" s="21">
        <f t="shared" si="3"/>
        <v>17.150024414062045</v>
      </c>
      <c r="K11" s="21">
        <f t="shared" si="4"/>
        <v>2.0489873851925982</v>
      </c>
      <c r="L11" s="19"/>
      <c r="M11" s="13" t="s">
        <v>37</v>
      </c>
      <c r="N11" s="28">
        <f>_xlfn.STDEV.P(G4:G30)</f>
        <v>12.846178182942431</v>
      </c>
    </row>
    <row r="12" spans="1:14" x14ac:dyDescent="0.25">
      <c r="A12" s="5">
        <v>45821</v>
      </c>
      <c r="B12" s="21">
        <v>816.84997558593705</v>
      </c>
      <c r="C12" s="21">
        <v>826.79998779296795</v>
      </c>
      <c r="D12" s="21">
        <v>813.04998779296795</v>
      </c>
      <c r="E12" s="21">
        <v>819</v>
      </c>
      <c r="F12" s="21">
        <v>3164561</v>
      </c>
      <c r="G12" s="21">
        <f t="shared" si="0"/>
        <v>2.1500244140629547</v>
      </c>
      <c r="H12" s="21">
        <f t="shared" si="1"/>
        <v>1</v>
      </c>
      <c r="I12" s="22">
        <f t="shared" si="2"/>
        <v>2.6251824347533026E-3</v>
      </c>
      <c r="J12" s="21">
        <f t="shared" si="3"/>
        <v>13.75</v>
      </c>
      <c r="K12" s="21">
        <f t="shared" si="4"/>
        <v>1.6788766788766789</v>
      </c>
      <c r="L12" s="19"/>
      <c r="M12" s="19"/>
      <c r="N12" s="19"/>
    </row>
    <row r="13" spans="1:14" x14ac:dyDescent="0.25">
      <c r="A13" s="5">
        <v>45824</v>
      </c>
      <c r="B13" s="21">
        <v>821.25</v>
      </c>
      <c r="C13" s="21">
        <v>824.79998779296795</v>
      </c>
      <c r="D13" s="21">
        <v>810.25</v>
      </c>
      <c r="E13" s="21">
        <v>817.04998779296795</v>
      </c>
      <c r="F13" s="21">
        <v>2286257</v>
      </c>
      <c r="G13" s="21">
        <f t="shared" si="0"/>
        <v>-4.2000122070320458</v>
      </c>
      <c r="H13" s="21">
        <f t="shared" si="1"/>
        <v>0</v>
      </c>
      <c r="I13" s="22">
        <f t="shared" si="2"/>
        <v>-5.1404592984294686E-3</v>
      </c>
      <c r="J13" s="21">
        <f t="shared" si="3"/>
        <v>14.549987792967954</v>
      </c>
      <c r="K13" s="21">
        <f t="shared" si="4"/>
        <v>1.7807953014320064</v>
      </c>
      <c r="L13" s="19"/>
      <c r="M13" s="19"/>
      <c r="N13" s="19"/>
    </row>
    <row r="14" spans="1:14" x14ac:dyDescent="0.25">
      <c r="A14" s="5">
        <v>45825</v>
      </c>
      <c r="B14" s="21">
        <v>809.15002441406205</v>
      </c>
      <c r="C14" s="21">
        <v>820.95001220703102</v>
      </c>
      <c r="D14" s="21">
        <v>806.04998779296795</v>
      </c>
      <c r="E14" s="21">
        <v>820</v>
      </c>
      <c r="F14" s="21">
        <v>2343961</v>
      </c>
      <c r="G14" s="21">
        <f t="shared" si="0"/>
        <v>10.849975585937955</v>
      </c>
      <c r="H14" s="21">
        <f t="shared" si="1"/>
        <v>1</v>
      </c>
      <c r="I14" s="22">
        <f t="shared" si="2"/>
        <v>1.3231677543826774E-2</v>
      </c>
      <c r="J14" s="21">
        <f t="shared" si="3"/>
        <v>14.900024414063068</v>
      </c>
      <c r="K14" s="21">
        <f t="shared" si="4"/>
        <v>1.8170761480564717</v>
      </c>
      <c r="L14" s="19"/>
      <c r="M14" s="19"/>
      <c r="N14" s="19"/>
    </row>
    <row r="15" spans="1:14" x14ac:dyDescent="0.25">
      <c r="A15" s="5">
        <v>45826</v>
      </c>
      <c r="B15" s="21">
        <v>850.5</v>
      </c>
      <c r="C15" s="21">
        <v>855.5</v>
      </c>
      <c r="D15" s="21">
        <v>815.54998779296795</v>
      </c>
      <c r="E15" s="21">
        <v>818.04998779296795</v>
      </c>
      <c r="F15" s="21">
        <v>20826809</v>
      </c>
      <c r="G15" s="21">
        <f t="shared" si="0"/>
        <v>-32.450012207032046</v>
      </c>
      <c r="H15" s="21">
        <f t="shared" si="1"/>
        <v>0</v>
      </c>
      <c r="I15" s="22">
        <f t="shared" si="2"/>
        <v>-3.9667517500464156E-2</v>
      </c>
      <c r="J15" s="21">
        <f t="shared" si="3"/>
        <v>39.950012207032046</v>
      </c>
      <c r="K15" s="21">
        <f t="shared" si="4"/>
        <v>4.8835661393766303</v>
      </c>
      <c r="L15" s="19"/>
      <c r="M15" s="19"/>
      <c r="N15" s="19"/>
    </row>
    <row r="16" spans="1:14" x14ac:dyDescent="0.25">
      <c r="A16" s="5">
        <v>45827</v>
      </c>
      <c r="B16" s="21">
        <v>837.5</v>
      </c>
      <c r="C16" s="21">
        <v>849.59997558593705</v>
      </c>
      <c r="D16" s="21">
        <v>835.45001220703102</v>
      </c>
      <c r="E16" s="21">
        <v>847</v>
      </c>
      <c r="F16" s="21">
        <v>4363823</v>
      </c>
      <c r="G16" s="21">
        <f t="shared" si="0"/>
        <v>9.5</v>
      </c>
      <c r="H16" s="21">
        <f t="shared" si="1"/>
        <v>1</v>
      </c>
      <c r="I16" s="22">
        <f t="shared" si="2"/>
        <v>1.1216056670602124E-2</v>
      </c>
      <c r="J16" s="21">
        <f t="shared" si="3"/>
        <v>14.149963378906023</v>
      </c>
      <c r="K16" s="21">
        <f t="shared" si="4"/>
        <v>1.6705978015237335</v>
      </c>
      <c r="L16" s="19"/>
      <c r="M16" s="19"/>
      <c r="N16" s="19"/>
    </row>
    <row r="17" spans="1:14" x14ac:dyDescent="0.25">
      <c r="A17" s="5">
        <v>45828</v>
      </c>
      <c r="B17" s="21">
        <v>840.25</v>
      </c>
      <c r="C17" s="21">
        <v>847.75</v>
      </c>
      <c r="D17" s="21">
        <v>829</v>
      </c>
      <c r="E17" s="21">
        <v>835.5</v>
      </c>
      <c r="F17" s="21">
        <v>20961217</v>
      </c>
      <c r="G17" s="21">
        <f t="shared" si="0"/>
        <v>-4.75</v>
      </c>
      <c r="H17" s="21">
        <f t="shared" si="1"/>
        <v>0</v>
      </c>
      <c r="I17" s="22">
        <f t="shared" si="2"/>
        <v>-5.6852184320766008E-3</v>
      </c>
      <c r="J17" s="21">
        <f t="shared" si="3"/>
        <v>18.75</v>
      </c>
      <c r="K17" s="21">
        <f t="shared" si="4"/>
        <v>2.2441651705565531</v>
      </c>
      <c r="L17" s="19"/>
      <c r="M17" s="19"/>
      <c r="N17" s="19"/>
    </row>
    <row r="18" spans="1:14" x14ac:dyDescent="0.25">
      <c r="A18" s="5">
        <v>45831</v>
      </c>
      <c r="B18" s="21">
        <v>839.90002441406205</v>
      </c>
      <c r="C18" s="21">
        <v>845</v>
      </c>
      <c r="D18" s="21">
        <v>826.5</v>
      </c>
      <c r="E18" s="21">
        <v>835.20001220703102</v>
      </c>
      <c r="F18" s="21">
        <v>3191499</v>
      </c>
      <c r="G18" s="21">
        <f t="shared" si="0"/>
        <v>-4.7000122070310226</v>
      </c>
      <c r="H18" s="21">
        <f t="shared" si="1"/>
        <v>0</v>
      </c>
      <c r="I18" s="22">
        <f t="shared" si="2"/>
        <v>-5.627409169464876E-3</v>
      </c>
      <c r="J18" s="21">
        <f t="shared" si="3"/>
        <v>18.5</v>
      </c>
      <c r="K18" s="21">
        <f t="shared" si="4"/>
        <v>2.2150382818019145</v>
      </c>
      <c r="L18" s="19"/>
      <c r="M18" s="19"/>
      <c r="N18" s="19"/>
    </row>
    <row r="19" spans="1:14" x14ac:dyDescent="0.25">
      <c r="A19" s="5">
        <v>45832</v>
      </c>
      <c r="B19" s="21">
        <v>831.95001220703102</v>
      </c>
      <c r="C19" s="21">
        <v>852</v>
      </c>
      <c r="D19" s="21">
        <v>823.79998779296795</v>
      </c>
      <c r="E19" s="21">
        <v>851</v>
      </c>
      <c r="F19" s="21">
        <v>5482589</v>
      </c>
      <c r="G19" s="21">
        <f t="shared" si="0"/>
        <v>19.049987792968977</v>
      </c>
      <c r="H19" s="21">
        <f t="shared" si="1"/>
        <v>1</v>
      </c>
      <c r="I19" s="22">
        <f t="shared" si="2"/>
        <v>2.238541456283076E-2</v>
      </c>
      <c r="J19" s="21">
        <f t="shared" si="3"/>
        <v>28.200012207032046</v>
      </c>
      <c r="K19" s="21">
        <f t="shared" si="4"/>
        <v>3.3137499655736833</v>
      </c>
      <c r="L19" s="19"/>
      <c r="M19" s="19"/>
      <c r="N19" s="19"/>
    </row>
    <row r="20" spans="1:14" x14ac:dyDescent="0.25">
      <c r="A20" s="5">
        <v>45833</v>
      </c>
      <c r="B20" s="21">
        <v>829.79998779296795</v>
      </c>
      <c r="C20" s="21">
        <v>838.79998779296795</v>
      </c>
      <c r="D20" s="21">
        <v>828</v>
      </c>
      <c r="E20" s="21">
        <v>834</v>
      </c>
      <c r="F20" s="21">
        <v>4946637</v>
      </c>
      <c r="G20" s="21">
        <f t="shared" si="0"/>
        <v>4.2000122070320458</v>
      </c>
      <c r="H20" s="21">
        <f t="shared" si="1"/>
        <v>1</v>
      </c>
      <c r="I20" s="22">
        <f t="shared" si="2"/>
        <v>5.0359858597506541E-3</v>
      </c>
      <c r="J20" s="21">
        <f t="shared" si="3"/>
        <v>10.799987792967954</v>
      </c>
      <c r="K20" s="21">
        <f t="shared" si="4"/>
        <v>1.2949625651040713</v>
      </c>
      <c r="L20" s="19"/>
      <c r="M20" s="19"/>
      <c r="N20" s="19"/>
    </row>
    <row r="21" spans="1:14" x14ac:dyDescent="0.25">
      <c r="A21" s="5">
        <v>45834</v>
      </c>
      <c r="B21" s="21">
        <v>836.09997558593705</v>
      </c>
      <c r="C21" s="21">
        <v>840.5</v>
      </c>
      <c r="D21" s="21">
        <v>824.5</v>
      </c>
      <c r="E21" s="21">
        <v>834.90002441406205</v>
      </c>
      <c r="F21" s="21">
        <v>4451922</v>
      </c>
      <c r="G21" s="21">
        <f t="shared" si="0"/>
        <v>-1.199951171875</v>
      </c>
      <c r="H21" s="21">
        <f t="shared" si="1"/>
        <v>0</v>
      </c>
      <c r="I21" s="22">
        <f t="shared" si="2"/>
        <v>-1.437239354157563E-3</v>
      </c>
      <c r="J21" s="21">
        <f t="shared" si="3"/>
        <v>16</v>
      </c>
      <c r="K21" s="21">
        <f t="shared" si="4"/>
        <v>1.9163971172750771</v>
      </c>
      <c r="L21" s="19"/>
      <c r="M21" s="19"/>
      <c r="N21" s="19"/>
    </row>
    <row r="22" spans="1:14" x14ac:dyDescent="0.25">
      <c r="A22" s="5">
        <v>45835</v>
      </c>
      <c r="B22" s="21">
        <v>857.70001220703102</v>
      </c>
      <c r="C22" s="21">
        <v>881</v>
      </c>
      <c r="D22" s="21">
        <v>831.5</v>
      </c>
      <c r="E22" s="21">
        <v>836</v>
      </c>
      <c r="F22" s="21">
        <v>12647856</v>
      </c>
      <c r="G22" s="21">
        <f t="shared" si="0"/>
        <v>-21.700012207031023</v>
      </c>
      <c r="H22" s="21">
        <f t="shared" si="1"/>
        <v>0</v>
      </c>
      <c r="I22" s="22">
        <f t="shared" si="2"/>
        <v>-2.5956952400754813E-2</v>
      </c>
      <c r="J22" s="21">
        <f t="shared" si="3"/>
        <v>49.5</v>
      </c>
      <c r="K22" s="21">
        <f t="shared" si="4"/>
        <v>5.9210526315789469</v>
      </c>
      <c r="L22" s="19"/>
      <c r="M22" s="19"/>
      <c r="N22" s="19"/>
    </row>
    <row r="23" spans="1:14" x14ac:dyDescent="0.25">
      <c r="A23" s="5">
        <v>45838</v>
      </c>
      <c r="B23" s="21">
        <v>872.09997558593705</v>
      </c>
      <c r="C23" s="21">
        <v>875.75</v>
      </c>
      <c r="D23" s="21">
        <v>857.70001220703102</v>
      </c>
      <c r="E23" s="21">
        <v>864.75</v>
      </c>
      <c r="F23" s="21">
        <v>4353159</v>
      </c>
      <c r="G23" s="21">
        <f t="shared" si="0"/>
        <v>-7.3499755859370453</v>
      </c>
      <c r="H23" s="21">
        <f t="shared" si="1"/>
        <v>0</v>
      </c>
      <c r="I23" s="22">
        <f t="shared" si="2"/>
        <v>-8.4995381161457589E-3</v>
      </c>
      <c r="J23" s="21">
        <f t="shared" si="3"/>
        <v>18.049987792968977</v>
      </c>
      <c r="K23" s="21">
        <f t="shared" si="4"/>
        <v>2.0873070590308158</v>
      </c>
      <c r="L23" s="19"/>
      <c r="M23" s="19"/>
      <c r="N23" s="19"/>
    </row>
    <row r="24" spans="1:14" x14ac:dyDescent="0.25">
      <c r="A24" s="5">
        <v>45839</v>
      </c>
      <c r="B24" s="21">
        <v>879.09997558593705</v>
      </c>
      <c r="C24" s="21">
        <v>892.79998779296795</v>
      </c>
      <c r="D24" s="21">
        <v>866.04998779296795</v>
      </c>
      <c r="E24" s="21">
        <v>870.09997558593705</v>
      </c>
      <c r="F24" s="21">
        <v>5729474</v>
      </c>
      <c r="G24" s="21">
        <f t="shared" si="0"/>
        <v>-9</v>
      </c>
      <c r="H24" s="21">
        <f t="shared" si="1"/>
        <v>0</v>
      </c>
      <c r="I24" s="22">
        <f t="shared" si="2"/>
        <v>-1.0343638952454031E-2</v>
      </c>
      <c r="J24" s="21">
        <f t="shared" si="3"/>
        <v>26.75</v>
      </c>
      <c r="K24" s="21">
        <f t="shared" si="4"/>
        <v>3.0743593553127258</v>
      </c>
      <c r="L24" s="19"/>
      <c r="M24" s="19"/>
      <c r="N24" s="19"/>
    </row>
    <row r="25" spans="1:14" x14ac:dyDescent="0.25">
      <c r="A25" s="5">
        <v>45840</v>
      </c>
      <c r="B25" s="21">
        <v>857.65002441406205</v>
      </c>
      <c r="C25" s="21">
        <v>875.5</v>
      </c>
      <c r="D25" s="21">
        <v>847.70001220703102</v>
      </c>
      <c r="E25" s="21">
        <v>875.5</v>
      </c>
      <c r="F25" s="21">
        <v>10183147</v>
      </c>
      <c r="G25" s="21">
        <f t="shared" si="0"/>
        <v>17.849975585937955</v>
      </c>
      <c r="H25" s="21">
        <f t="shared" si="1"/>
        <v>1</v>
      </c>
      <c r="I25" s="22">
        <f t="shared" si="2"/>
        <v>2.0388321628712684E-2</v>
      </c>
      <c r="J25" s="21">
        <f t="shared" si="3"/>
        <v>27.799987792968977</v>
      </c>
      <c r="K25" s="21">
        <f t="shared" si="4"/>
        <v>3.175326989488175</v>
      </c>
      <c r="L25" s="19"/>
      <c r="M25" s="19"/>
      <c r="N25" s="19"/>
    </row>
    <row r="26" spans="1:14" x14ac:dyDescent="0.25">
      <c r="A26" s="5">
        <v>45841</v>
      </c>
      <c r="B26" s="21">
        <v>862.40002441406205</v>
      </c>
      <c r="C26" s="21">
        <v>866</v>
      </c>
      <c r="D26" s="21">
        <v>845.54998779296795</v>
      </c>
      <c r="E26" s="21">
        <v>849</v>
      </c>
      <c r="F26" s="21">
        <v>3854888</v>
      </c>
      <c r="G26" s="21">
        <f t="shared" si="0"/>
        <v>-13.400024414062045</v>
      </c>
      <c r="H26" s="21">
        <f t="shared" si="1"/>
        <v>0</v>
      </c>
      <c r="I26" s="22">
        <f t="shared" si="2"/>
        <v>-1.5783303196775084E-2</v>
      </c>
      <c r="J26" s="21">
        <f t="shared" si="3"/>
        <v>20.450012207032046</v>
      </c>
      <c r="K26" s="21">
        <f t="shared" si="4"/>
        <v>2.4087175744442928</v>
      </c>
      <c r="L26" s="19"/>
      <c r="M26" s="19"/>
      <c r="N26" s="19"/>
    </row>
  </sheetData>
  <conditionalFormatting sqref="G4:I26">
    <cfRule type="cellIs" dxfId="6" priority="1" operator="lessThan">
      <formula>0</formula>
    </cfRule>
    <cfRule type="cellIs" dxfId="5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1F2D-ED29-4B33-9CDF-ACFB44344E44}">
  <dimension ref="A1:N26"/>
  <sheetViews>
    <sheetView workbookViewId="0">
      <selection activeCell="M13" sqref="M13"/>
    </sheetView>
  </sheetViews>
  <sheetFormatPr defaultRowHeight="15" x14ac:dyDescent="0.25"/>
  <cols>
    <col min="1" max="1" width="8.42578125" style="4" bestFit="1" customWidth="1"/>
    <col min="2" max="6" width="12.140625" style="3" bestFit="1" customWidth="1"/>
    <col min="7" max="7" width="14.7109375" style="19" bestFit="1" customWidth="1"/>
    <col min="8" max="8" width="4" style="19" hidden="1" customWidth="1"/>
    <col min="9" max="9" width="13.5703125" style="19" bestFit="1" customWidth="1"/>
    <col min="10" max="10" width="11.85546875" style="19" bestFit="1" customWidth="1"/>
    <col min="11" max="11" width="8.7109375" style="19" bestFit="1" customWidth="1"/>
    <col min="12" max="12" width="9.140625" style="19"/>
    <col min="13" max="13" width="25.7109375" style="19" bestFit="1" customWidth="1"/>
    <col min="14" max="14" width="9.140625" style="19"/>
  </cols>
  <sheetData>
    <row r="1" spans="1:1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5" t="s">
        <v>14</v>
      </c>
      <c r="H1" s="4"/>
      <c r="I1" s="4" t="s">
        <v>14</v>
      </c>
      <c r="J1" s="4" t="s">
        <v>15</v>
      </c>
      <c r="K1" s="5" t="s">
        <v>16</v>
      </c>
      <c r="L1" s="25"/>
      <c r="M1" s="25"/>
      <c r="N1" s="25"/>
    </row>
    <row r="2" spans="1:14" hidden="1" x14ac:dyDescent="0.25">
      <c r="A2" s="4" t="s">
        <v>6</v>
      </c>
      <c r="B2" s="3" t="s">
        <v>12</v>
      </c>
      <c r="C2" s="3" t="s">
        <v>12</v>
      </c>
      <c r="D2" s="3" t="s">
        <v>12</v>
      </c>
      <c r="E2" s="3" t="s">
        <v>12</v>
      </c>
      <c r="F2" s="3" t="s">
        <v>12</v>
      </c>
      <c r="G2" s="3"/>
      <c r="H2" s="3"/>
      <c r="I2" s="3"/>
      <c r="J2" s="3"/>
      <c r="K2" s="3"/>
    </row>
    <row r="3" spans="1:14" ht="15.75" thickBot="1" x14ac:dyDescent="0.3">
      <c r="A3" s="4" t="s">
        <v>8</v>
      </c>
      <c r="G3" s="3"/>
      <c r="H3" s="3"/>
      <c r="I3" s="3"/>
      <c r="J3" s="3"/>
      <c r="K3" s="3"/>
    </row>
    <row r="4" spans="1:14" x14ac:dyDescent="0.25">
      <c r="A4" s="5">
        <v>45811</v>
      </c>
      <c r="B4" s="21">
        <v>2044.5</v>
      </c>
      <c r="C4" s="21">
        <v>2075.80004882812</v>
      </c>
      <c r="D4" s="21">
        <v>2034.19995117187</v>
      </c>
      <c r="E4" s="21">
        <v>2070</v>
      </c>
      <c r="F4" s="21">
        <v>6463818</v>
      </c>
      <c r="G4" s="21">
        <f>E4-B4</f>
        <v>25.5</v>
      </c>
      <c r="H4" s="21">
        <f>IF(G4&gt;0, 1, 0)</f>
        <v>1</v>
      </c>
      <c r="I4" s="22">
        <f>G4/E4</f>
        <v>1.2318840579710146E-2</v>
      </c>
      <c r="J4" s="21">
        <f>C4-D4</f>
        <v>41.60009765625</v>
      </c>
      <c r="K4" s="21">
        <f>J4/E4*100</f>
        <v>2.0096665534420288</v>
      </c>
      <c r="M4" s="10" t="s">
        <v>17</v>
      </c>
      <c r="N4" s="11">
        <f>AVERAGE(I4:I26)</f>
        <v>-1.388449283102146E-3</v>
      </c>
    </row>
    <row r="5" spans="1:14" x14ac:dyDescent="0.25">
      <c r="A5" s="5">
        <v>45812</v>
      </c>
      <c r="B5" s="21">
        <v>2046.30004882812</v>
      </c>
      <c r="C5" s="21">
        <v>2058.5</v>
      </c>
      <c r="D5" s="21">
        <v>2040.80004882812</v>
      </c>
      <c r="E5" s="21">
        <v>2047.09997558593</v>
      </c>
      <c r="F5" s="21">
        <v>2331114</v>
      </c>
      <c r="G5" s="21">
        <f t="shared" ref="G5:G26" si="0">E5-B5</f>
        <v>0.79992675780999889</v>
      </c>
      <c r="H5" s="21">
        <f t="shared" ref="H5:H26" si="1">IF(G5&gt;0, 1, 0)</f>
        <v>1</v>
      </c>
      <c r="I5" s="22">
        <f t="shared" ref="I5:I26" si="2">G5/E5</f>
        <v>3.9076096299646543E-4</v>
      </c>
      <c r="J5" s="21">
        <f t="shared" ref="J5:J26" si="3">C5-D5</f>
        <v>17.699951171880002</v>
      </c>
      <c r="K5" s="21">
        <f t="shared" ref="K5:K26" si="4">J5/E5*100</f>
        <v>0.86463540535258143</v>
      </c>
      <c r="M5" s="12" t="s">
        <v>18</v>
      </c>
      <c r="N5" s="14">
        <f>AVERAGE(K4:K26)</f>
        <v>1.6811803910712078</v>
      </c>
    </row>
    <row r="6" spans="1:14" x14ac:dyDescent="0.25">
      <c r="A6" s="5">
        <v>45813</v>
      </c>
      <c r="B6" s="21">
        <v>2039.90002441406</v>
      </c>
      <c r="C6" s="21">
        <v>2056.39990234375</v>
      </c>
      <c r="D6" s="21">
        <v>2034.19995117187</v>
      </c>
      <c r="E6" s="21">
        <v>2054.80004882812</v>
      </c>
      <c r="F6" s="21">
        <v>3725332</v>
      </c>
      <c r="G6" s="21">
        <f t="shared" si="0"/>
        <v>14.900024414059999</v>
      </c>
      <c r="H6" s="21">
        <f t="shared" si="1"/>
        <v>1</v>
      </c>
      <c r="I6" s="22">
        <f t="shared" si="2"/>
        <v>7.251325705660598E-3</v>
      </c>
      <c r="J6" s="21">
        <f t="shared" si="3"/>
        <v>22.199951171880002</v>
      </c>
      <c r="K6" s="21">
        <f t="shared" si="4"/>
        <v>1.080394716972142</v>
      </c>
      <c r="M6" s="12" t="s">
        <v>19</v>
      </c>
      <c r="N6" s="14">
        <f>MAX(G4:G26)</f>
        <v>44.39990234375</v>
      </c>
    </row>
    <row r="7" spans="1:14" x14ac:dyDescent="0.25">
      <c r="A7" s="5">
        <v>45814</v>
      </c>
      <c r="B7" s="21">
        <v>2073.39990234375</v>
      </c>
      <c r="C7" s="21">
        <v>2084.89990234375</v>
      </c>
      <c r="D7" s="21">
        <v>2033.80004882812</v>
      </c>
      <c r="E7" s="21">
        <v>2043.90002441406</v>
      </c>
      <c r="F7" s="21">
        <v>4424324</v>
      </c>
      <c r="G7" s="21">
        <f t="shared" si="0"/>
        <v>-29.499877929690001</v>
      </c>
      <c r="H7" s="21">
        <f t="shared" si="1"/>
        <v>0</v>
      </c>
      <c r="I7" s="22">
        <f t="shared" si="2"/>
        <v>-1.4433131551112413E-2</v>
      </c>
      <c r="J7" s="21">
        <f t="shared" si="3"/>
        <v>51.099853515630002</v>
      </c>
      <c r="K7" s="21">
        <f t="shared" si="4"/>
        <v>2.5001151184133468</v>
      </c>
      <c r="M7" s="12" t="s">
        <v>20</v>
      </c>
      <c r="N7" s="14">
        <f>MIN(G4:G26)</f>
        <v>-35.39990234375</v>
      </c>
    </row>
    <row r="8" spans="1:14" x14ac:dyDescent="0.25">
      <c r="A8" s="5">
        <v>45817</v>
      </c>
      <c r="B8" s="21">
        <v>2138.19995117187</v>
      </c>
      <c r="C8" s="21">
        <v>2142.39990234375</v>
      </c>
      <c r="D8" s="21">
        <v>2090</v>
      </c>
      <c r="E8" s="21">
        <v>2111</v>
      </c>
      <c r="F8" s="21">
        <v>5779088</v>
      </c>
      <c r="G8" s="21">
        <f t="shared" si="0"/>
        <v>-27.199951171869998</v>
      </c>
      <c r="H8" s="21">
        <f t="shared" si="1"/>
        <v>0</v>
      </c>
      <c r="I8" s="22">
        <f t="shared" si="2"/>
        <v>-1.2884865548019894E-2</v>
      </c>
      <c r="J8" s="21">
        <f t="shared" si="3"/>
        <v>52.39990234375</v>
      </c>
      <c r="K8" s="21">
        <f t="shared" si="4"/>
        <v>2.4822312810871625</v>
      </c>
      <c r="M8" s="12" t="s">
        <v>21</v>
      </c>
      <c r="N8" s="15">
        <f>AVERAGE(F4:F26)</f>
        <v>4091848.913043478</v>
      </c>
    </row>
    <row r="9" spans="1:14" x14ac:dyDescent="0.25">
      <c r="A9" s="5">
        <v>45818</v>
      </c>
      <c r="B9" s="21">
        <v>2151.10009765625</v>
      </c>
      <c r="C9" s="21">
        <v>2172.89990234375</v>
      </c>
      <c r="D9" s="21">
        <v>2138.19995117187</v>
      </c>
      <c r="E9" s="21">
        <v>2146.69995117187</v>
      </c>
      <c r="F9" s="21">
        <v>4915742</v>
      </c>
      <c r="G9" s="21">
        <f t="shared" si="0"/>
        <v>-4.4001464843800022</v>
      </c>
      <c r="H9" s="21">
        <f t="shared" si="1"/>
        <v>0</v>
      </c>
      <c r="I9" s="22">
        <f t="shared" si="2"/>
        <v>-2.0497258976402313E-3</v>
      </c>
      <c r="J9" s="21">
        <f t="shared" si="3"/>
        <v>34.699951171880002</v>
      </c>
      <c r="K9" s="21">
        <f t="shared" si="4"/>
        <v>1.6164322896144623</v>
      </c>
      <c r="M9" s="12" t="s">
        <v>22</v>
      </c>
      <c r="N9" s="16">
        <f>COUNTIF(G4:G24,"&gt;0")/COUNTA(G4:G24)</f>
        <v>0.42857142857142855</v>
      </c>
    </row>
    <row r="10" spans="1:14" x14ac:dyDescent="0.25">
      <c r="A10" s="5">
        <v>45819</v>
      </c>
      <c r="B10" s="21">
        <v>2145.30004882812</v>
      </c>
      <c r="C10" s="21">
        <v>2160.69995117187</v>
      </c>
      <c r="D10" s="21">
        <v>2133</v>
      </c>
      <c r="E10" s="21">
        <v>2149</v>
      </c>
      <c r="F10" s="21">
        <v>1782061</v>
      </c>
      <c r="G10" s="21">
        <f t="shared" si="0"/>
        <v>3.6999511718800022</v>
      </c>
      <c r="H10" s="21">
        <f t="shared" si="1"/>
        <v>1</v>
      </c>
      <c r="I10" s="22">
        <f t="shared" si="2"/>
        <v>1.721708316370406E-3</v>
      </c>
      <c r="J10" s="21">
        <f t="shared" si="3"/>
        <v>27.699951171869998</v>
      </c>
      <c r="K10" s="21">
        <f t="shared" si="4"/>
        <v>1.2889693425718938</v>
      </c>
      <c r="M10" s="12" t="s">
        <v>23</v>
      </c>
      <c r="N10" s="17">
        <f>SUM(H4:H26)</f>
        <v>11</v>
      </c>
    </row>
    <row r="11" spans="1:14" ht="15.75" thickBot="1" x14ac:dyDescent="0.3">
      <c r="A11" s="5">
        <v>45820</v>
      </c>
      <c r="B11" s="21">
        <v>2126.80004882812</v>
      </c>
      <c r="C11" s="21">
        <v>2148.80004882812</v>
      </c>
      <c r="D11" s="21">
        <v>2122.19995117187</v>
      </c>
      <c r="E11" s="21">
        <v>2145.30004882812</v>
      </c>
      <c r="F11" s="21">
        <v>2978172</v>
      </c>
      <c r="G11" s="21">
        <f t="shared" si="0"/>
        <v>18.5</v>
      </c>
      <c r="H11" s="21">
        <f t="shared" si="1"/>
        <v>1</v>
      </c>
      <c r="I11" s="22">
        <f t="shared" si="2"/>
        <v>8.6235023441619315E-3</v>
      </c>
      <c r="J11" s="21">
        <f t="shared" si="3"/>
        <v>26.60009765625</v>
      </c>
      <c r="K11" s="21">
        <f t="shared" si="4"/>
        <v>1.2399243486140983</v>
      </c>
      <c r="M11" s="13" t="s">
        <v>37</v>
      </c>
      <c r="N11" s="28">
        <f>_xlfn.STDEV.P(G4:G30)</f>
        <v>20.788194547715637</v>
      </c>
    </row>
    <row r="12" spans="1:14" x14ac:dyDescent="0.25">
      <c r="A12" s="5">
        <v>45821</v>
      </c>
      <c r="B12" s="21">
        <v>2107.39990234375</v>
      </c>
      <c r="C12" s="21">
        <v>2122</v>
      </c>
      <c r="D12" s="21">
        <v>2072</v>
      </c>
      <c r="E12" s="21">
        <v>2072</v>
      </c>
      <c r="F12" s="21">
        <v>4467274</v>
      </c>
      <c r="G12" s="21">
        <f t="shared" si="0"/>
        <v>-35.39990234375</v>
      </c>
      <c r="H12" s="21">
        <f t="shared" si="1"/>
        <v>0</v>
      </c>
      <c r="I12" s="22">
        <f t="shared" si="2"/>
        <v>-1.7084894953547296E-2</v>
      </c>
      <c r="J12" s="21">
        <f t="shared" si="3"/>
        <v>50</v>
      </c>
      <c r="K12" s="21">
        <f t="shared" si="4"/>
        <v>2.413127413127413</v>
      </c>
    </row>
    <row r="13" spans="1:14" x14ac:dyDescent="0.25">
      <c r="A13" s="5">
        <v>45824</v>
      </c>
      <c r="B13" s="21">
        <v>2139</v>
      </c>
      <c r="C13" s="21">
        <v>2144.69995117187</v>
      </c>
      <c r="D13" s="21">
        <v>2088.80004882812</v>
      </c>
      <c r="E13" s="21">
        <v>2107.89990234375</v>
      </c>
      <c r="F13" s="21">
        <v>2941596</v>
      </c>
      <c r="G13" s="21">
        <f t="shared" si="0"/>
        <v>-31.10009765625</v>
      </c>
      <c r="H13" s="21">
        <f t="shared" si="1"/>
        <v>0</v>
      </c>
      <c r="I13" s="22">
        <f t="shared" si="2"/>
        <v>-1.475406760144073E-2</v>
      </c>
      <c r="J13" s="21">
        <f t="shared" si="3"/>
        <v>55.89990234375</v>
      </c>
      <c r="K13" s="21">
        <f t="shared" si="4"/>
        <v>2.6519239495953073</v>
      </c>
    </row>
    <row r="14" spans="1:14" x14ac:dyDescent="0.25">
      <c r="A14" s="5">
        <v>45825</v>
      </c>
      <c r="B14" s="21">
        <v>2136.80004882812</v>
      </c>
      <c r="C14" s="21">
        <v>2155.80004882812</v>
      </c>
      <c r="D14" s="21">
        <v>2130.19995117187</v>
      </c>
      <c r="E14" s="21">
        <v>2139</v>
      </c>
      <c r="F14" s="21">
        <v>3108300</v>
      </c>
      <c r="G14" s="21">
        <f t="shared" si="0"/>
        <v>2.1999511718800022</v>
      </c>
      <c r="H14" s="21">
        <f t="shared" si="1"/>
        <v>1</v>
      </c>
      <c r="I14" s="22">
        <f t="shared" si="2"/>
        <v>1.0284951715194026E-3</v>
      </c>
      <c r="J14" s="21">
        <f t="shared" si="3"/>
        <v>25.60009765625</v>
      </c>
      <c r="K14" s="21">
        <f t="shared" si="4"/>
        <v>1.1968255098761105</v>
      </c>
    </row>
    <row r="15" spans="1:14" x14ac:dyDescent="0.25">
      <c r="A15" s="5">
        <v>45826</v>
      </c>
      <c r="B15" s="21">
        <v>2132.39990234375</v>
      </c>
      <c r="C15" s="21">
        <v>2137.39990234375</v>
      </c>
      <c r="D15" s="21">
        <v>2108.69995117187</v>
      </c>
      <c r="E15" s="21">
        <v>2125</v>
      </c>
      <c r="F15" s="21">
        <v>3900651</v>
      </c>
      <c r="G15" s="21">
        <f t="shared" si="0"/>
        <v>-7.39990234375</v>
      </c>
      <c r="H15" s="21">
        <f t="shared" si="1"/>
        <v>0</v>
      </c>
      <c r="I15" s="22">
        <f t="shared" si="2"/>
        <v>-3.4823069852941177E-3</v>
      </c>
      <c r="J15" s="21">
        <f t="shared" si="3"/>
        <v>28.699951171880002</v>
      </c>
      <c r="K15" s="21">
        <f t="shared" si="4"/>
        <v>1.3505859375002354</v>
      </c>
    </row>
    <row r="16" spans="1:14" x14ac:dyDescent="0.25">
      <c r="A16" s="5">
        <v>45827</v>
      </c>
      <c r="B16" s="21">
        <v>2146.39990234375</v>
      </c>
      <c r="C16" s="21">
        <v>2154.69995117187</v>
      </c>
      <c r="D16" s="21">
        <v>2133.10009765625</v>
      </c>
      <c r="E16" s="21">
        <v>2139.5</v>
      </c>
      <c r="F16" s="21">
        <v>3405199</v>
      </c>
      <c r="G16" s="21">
        <f t="shared" si="0"/>
        <v>-6.89990234375</v>
      </c>
      <c r="H16" s="21">
        <f t="shared" si="1"/>
        <v>0</v>
      </c>
      <c r="I16" s="22">
        <f t="shared" si="2"/>
        <v>-3.2250069379527926E-3</v>
      </c>
      <c r="J16" s="21">
        <f t="shared" si="3"/>
        <v>21.599853515619998</v>
      </c>
      <c r="K16" s="21">
        <f t="shared" si="4"/>
        <v>1.0095748312979667</v>
      </c>
    </row>
    <row r="17" spans="1:11" x14ac:dyDescent="0.25">
      <c r="A17" s="5">
        <v>45828</v>
      </c>
      <c r="B17" s="21">
        <v>2169.80004882812</v>
      </c>
      <c r="C17" s="21">
        <v>2176</v>
      </c>
      <c r="D17" s="21">
        <v>2131.30004882812</v>
      </c>
      <c r="E17" s="21">
        <v>2145</v>
      </c>
      <c r="F17" s="21">
        <v>3372636</v>
      </c>
      <c r="G17" s="21">
        <f t="shared" si="0"/>
        <v>-24.800048828119998</v>
      </c>
      <c r="H17" s="21">
        <f t="shared" si="1"/>
        <v>0</v>
      </c>
      <c r="I17" s="22">
        <f t="shared" si="2"/>
        <v>-1.1561794325463868E-2</v>
      </c>
      <c r="J17" s="21">
        <f t="shared" si="3"/>
        <v>44.699951171880002</v>
      </c>
      <c r="K17" s="21">
        <f t="shared" si="4"/>
        <v>2.0839138075468533</v>
      </c>
    </row>
    <row r="18" spans="1:11" x14ac:dyDescent="0.25">
      <c r="A18" s="5">
        <v>45831</v>
      </c>
      <c r="B18" s="21">
        <v>2184.10009765625</v>
      </c>
      <c r="C18" s="21">
        <v>2189.69995117187</v>
      </c>
      <c r="D18" s="21">
        <v>2151.19995117187</v>
      </c>
      <c r="E18" s="21">
        <v>2158.10009765625</v>
      </c>
      <c r="F18" s="21">
        <v>1720614</v>
      </c>
      <c r="G18" s="21">
        <f t="shared" si="0"/>
        <v>-26</v>
      </c>
      <c r="H18" s="21">
        <f t="shared" si="1"/>
        <v>0</v>
      </c>
      <c r="I18" s="22">
        <f t="shared" si="2"/>
        <v>-1.2047633948136438E-2</v>
      </c>
      <c r="J18" s="21">
        <f t="shared" si="3"/>
        <v>38.5</v>
      </c>
      <c r="K18" s="21">
        <f t="shared" si="4"/>
        <v>1.7839765653971262</v>
      </c>
    </row>
    <row r="19" spans="1:11" x14ac:dyDescent="0.25">
      <c r="A19" s="5">
        <v>45832</v>
      </c>
      <c r="B19" s="21">
        <v>2223.60009765625</v>
      </c>
      <c r="C19" s="21">
        <v>2233.60009765625</v>
      </c>
      <c r="D19" s="21">
        <v>2191.39990234375</v>
      </c>
      <c r="E19" s="21">
        <v>2208</v>
      </c>
      <c r="F19" s="21">
        <v>5604520</v>
      </c>
      <c r="G19" s="21">
        <f t="shared" si="0"/>
        <v>-15.60009765625</v>
      </c>
      <c r="H19" s="21">
        <f t="shared" si="1"/>
        <v>0</v>
      </c>
      <c r="I19" s="22">
        <f t="shared" si="2"/>
        <v>-7.065261619678442E-3</v>
      </c>
      <c r="J19" s="21">
        <f t="shared" si="3"/>
        <v>42.2001953125</v>
      </c>
      <c r="K19" s="21">
        <f t="shared" si="4"/>
        <v>1.91124072973279</v>
      </c>
    </row>
    <row r="20" spans="1:11" x14ac:dyDescent="0.25">
      <c r="A20" s="5">
        <v>45833</v>
      </c>
      <c r="B20" s="21">
        <v>2198.30004882812</v>
      </c>
      <c r="C20" s="21">
        <v>2223.60009765625</v>
      </c>
      <c r="D20" s="21">
        <v>2191</v>
      </c>
      <c r="E20" s="21">
        <v>2223</v>
      </c>
      <c r="F20" s="21">
        <v>3575429</v>
      </c>
      <c r="G20" s="21">
        <f t="shared" si="0"/>
        <v>24.699951171880002</v>
      </c>
      <c r="H20" s="21">
        <f t="shared" si="1"/>
        <v>1</v>
      </c>
      <c r="I20" s="22">
        <f t="shared" si="2"/>
        <v>1.1111089146144851E-2</v>
      </c>
      <c r="J20" s="21">
        <f t="shared" si="3"/>
        <v>32.60009765625</v>
      </c>
      <c r="K20" s="21">
        <f t="shared" si="4"/>
        <v>1.4664911226383266</v>
      </c>
    </row>
    <row r="21" spans="1:11" x14ac:dyDescent="0.25">
      <c r="A21" s="5">
        <v>45834</v>
      </c>
      <c r="B21" s="21">
        <v>2203.89990234375</v>
      </c>
      <c r="C21" s="21">
        <v>2210</v>
      </c>
      <c r="D21" s="21">
        <v>2180</v>
      </c>
      <c r="E21" s="21">
        <v>2202.39990234375</v>
      </c>
      <c r="F21" s="21">
        <v>5670127</v>
      </c>
      <c r="G21" s="21">
        <f t="shared" si="0"/>
        <v>-1.5</v>
      </c>
      <c r="H21" s="21">
        <f t="shared" si="1"/>
        <v>0</v>
      </c>
      <c r="I21" s="22">
        <f t="shared" si="2"/>
        <v>-6.8107522090049587E-4</v>
      </c>
      <c r="J21" s="21">
        <f t="shared" si="3"/>
        <v>30</v>
      </c>
      <c r="K21" s="21">
        <f t="shared" si="4"/>
        <v>1.3621504418009915</v>
      </c>
    </row>
    <row r="22" spans="1:11" x14ac:dyDescent="0.25">
      <c r="A22" s="5">
        <v>45835</v>
      </c>
      <c r="B22" s="21">
        <v>2207.89990234375</v>
      </c>
      <c r="C22" s="21">
        <v>2217.30004882812</v>
      </c>
      <c r="D22" s="21">
        <v>2182.60009765625</v>
      </c>
      <c r="E22" s="21">
        <v>2210</v>
      </c>
      <c r="F22" s="21">
        <v>9649439</v>
      </c>
      <c r="G22" s="21">
        <f t="shared" si="0"/>
        <v>2.10009765625</v>
      </c>
      <c r="H22" s="21">
        <f t="shared" si="1"/>
        <v>1</v>
      </c>
      <c r="I22" s="22">
        <f t="shared" si="2"/>
        <v>9.5027043269230768E-4</v>
      </c>
      <c r="J22" s="21">
        <f t="shared" si="3"/>
        <v>34.699951171869998</v>
      </c>
      <c r="K22" s="21">
        <f t="shared" si="4"/>
        <v>1.5701335371886875</v>
      </c>
    </row>
    <row r="23" spans="1:11" x14ac:dyDescent="0.25">
      <c r="A23" s="5">
        <v>45838</v>
      </c>
      <c r="B23" s="21">
        <v>2163.5</v>
      </c>
      <c r="C23" s="21">
        <v>2209</v>
      </c>
      <c r="D23" s="21">
        <v>2154.5</v>
      </c>
      <c r="E23" s="21">
        <v>2207.89990234375</v>
      </c>
      <c r="F23" s="21">
        <v>3727657</v>
      </c>
      <c r="G23" s="21">
        <f t="shared" si="0"/>
        <v>44.39990234375</v>
      </c>
      <c r="H23" s="21">
        <f t="shared" si="1"/>
        <v>1</v>
      </c>
      <c r="I23" s="22">
        <f t="shared" si="2"/>
        <v>2.0109563072410217E-2</v>
      </c>
      <c r="J23" s="21">
        <f t="shared" si="3"/>
        <v>54.5</v>
      </c>
      <c r="K23" s="21">
        <f t="shared" si="4"/>
        <v>2.4684090045090659</v>
      </c>
    </row>
    <row r="24" spans="1:11" x14ac:dyDescent="0.25">
      <c r="A24" s="5">
        <v>45839</v>
      </c>
      <c r="B24" s="21">
        <v>2183.60009765625</v>
      </c>
      <c r="C24" s="21">
        <v>2186.5</v>
      </c>
      <c r="D24" s="21">
        <v>2159.30004882812</v>
      </c>
      <c r="E24" s="21">
        <v>2163.5</v>
      </c>
      <c r="F24" s="21">
        <v>4025754</v>
      </c>
      <c r="G24" s="21">
        <f t="shared" si="0"/>
        <v>-20.10009765625</v>
      </c>
      <c r="H24" s="21">
        <f t="shared" si="1"/>
        <v>0</v>
      </c>
      <c r="I24" s="22">
        <f t="shared" si="2"/>
        <v>-9.2905466402819509E-3</v>
      </c>
      <c r="J24" s="21">
        <f t="shared" si="3"/>
        <v>27.199951171880002</v>
      </c>
      <c r="K24" s="21">
        <f t="shared" si="4"/>
        <v>1.2572198369253524</v>
      </c>
    </row>
    <row r="25" spans="1:11" x14ac:dyDescent="0.25">
      <c r="A25" s="5">
        <v>45840</v>
      </c>
      <c r="B25" s="21">
        <v>2169.10009765625</v>
      </c>
      <c r="C25" s="21">
        <v>2197.19995117187</v>
      </c>
      <c r="D25" s="21">
        <v>2161</v>
      </c>
      <c r="E25" s="21">
        <v>2185</v>
      </c>
      <c r="F25" s="21">
        <v>1876511</v>
      </c>
      <c r="G25" s="21">
        <f t="shared" si="0"/>
        <v>15.89990234375</v>
      </c>
      <c r="H25" s="21">
        <f t="shared" si="1"/>
        <v>1</v>
      </c>
      <c r="I25" s="22">
        <f t="shared" si="2"/>
        <v>7.2768431779176197E-3</v>
      </c>
      <c r="J25" s="21">
        <f t="shared" si="3"/>
        <v>36.199951171869998</v>
      </c>
      <c r="K25" s="21">
        <f t="shared" si="4"/>
        <v>1.6567483373853547</v>
      </c>
    </row>
    <row r="26" spans="1:11" x14ac:dyDescent="0.25">
      <c r="A26" s="5">
        <v>45841</v>
      </c>
      <c r="B26" s="21">
        <v>2126.60009765625</v>
      </c>
      <c r="C26" s="21">
        <v>2151.89990234375</v>
      </c>
      <c r="D26" s="21">
        <v>2121.89990234375</v>
      </c>
      <c r="E26" s="21">
        <v>2139.10009765625</v>
      </c>
      <c r="F26" s="21">
        <v>4667167</v>
      </c>
      <c r="G26" s="21">
        <f t="shared" si="0"/>
        <v>12.5</v>
      </c>
      <c r="H26" s="21">
        <f t="shared" si="1"/>
        <v>1</v>
      </c>
      <c r="I26" s="22">
        <f t="shared" si="2"/>
        <v>5.8435788085353683E-3</v>
      </c>
      <c r="J26" s="21">
        <f t="shared" si="3"/>
        <v>30</v>
      </c>
      <c r="K26" s="21">
        <f t="shared" si="4"/>
        <v>1.4024589140484884</v>
      </c>
    </row>
  </sheetData>
  <conditionalFormatting sqref="G4:I26">
    <cfRule type="cellIs" dxfId="4" priority="1" operator="lessThan">
      <formula>0</formula>
    </cfRule>
    <cfRule type="cellIs" dxfId="3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DC44-D356-4EF2-BFF2-871E3CD48BF3}">
  <dimension ref="A1:N26"/>
  <sheetViews>
    <sheetView tabSelected="1" workbookViewId="0">
      <selection activeCell="N13" sqref="N13"/>
    </sheetView>
  </sheetViews>
  <sheetFormatPr defaultRowHeight="15" x14ac:dyDescent="0.25"/>
  <cols>
    <col min="1" max="1" width="11.140625" style="4" customWidth="1"/>
    <col min="2" max="6" width="11.140625" style="3" customWidth="1"/>
    <col min="7" max="7" width="14.7109375" style="19" bestFit="1" customWidth="1"/>
    <col min="8" max="8" width="11.140625" style="19" hidden="1" customWidth="1"/>
    <col min="9" max="11" width="11.140625" style="19" customWidth="1"/>
    <col min="12" max="12" width="9.140625" style="19"/>
    <col min="13" max="13" width="25.7109375" style="19" bestFit="1" customWidth="1"/>
    <col min="14" max="14" width="10" style="19" bestFit="1" customWidth="1"/>
  </cols>
  <sheetData>
    <row r="1" spans="1:1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5" t="s">
        <v>14</v>
      </c>
      <c r="H1" s="4"/>
      <c r="I1" s="4" t="s">
        <v>14</v>
      </c>
      <c r="J1" s="4" t="s">
        <v>15</v>
      </c>
      <c r="K1" s="5" t="s">
        <v>16</v>
      </c>
      <c r="L1" s="25"/>
      <c r="M1" s="25"/>
      <c r="N1" s="25"/>
    </row>
    <row r="2" spans="1:14" hidden="1" x14ac:dyDescent="0.25">
      <c r="A2" s="4" t="s">
        <v>6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/>
      <c r="H2" s="3"/>
      <c r="I2" s="3"/>
      <c r="J2" s="3"/>
      <c r="K2" s="3"/>
    </row>
    <row r="3" spans="1:14" ht="15.75" thickBot="1" x14ac:dyDescent="0.3">
      <c r="A3" s="4" t="s">
        <v>8</v>
      </c>
      <c r="G3" s="3"/>
      <c r="H3" s="3"/>
      <c r="I3" s="3"/>
      <c r="J3" s="3"/>
      <c r="K3" s="3"/>
    </row>
    <row r="4" spans="1:14" x14ac:dyDescent="0.25">
      <c r="A4" s="5">
        <v>45811</v>
      </c>
      <c r="B4" s="21">
        <v>809.79998779296795</v>
      </c>
      <c r="C4" s="21">
        <v>818.40002441406205</v>
      </c>
      <c r="D4" s="21">
        <v>805.15002441406205</v>
      </c>
      <c r="E4" s="21">
        <v>816.20001220703102</v>
      </c>
      <c r="F4" s="21">
        <v>14247597</v>
      </c>
      <c r="G4" s="21">
        <f>E4-B4</f>
        <v>6.4000244140630684</v>
      </c>
      <c r="H4" s="21">
        <f>IF(G4&gt;0, 1, 0)</f>
        <v>1</v>
      </c>
      <c r="I4" s="22">
        <f>G4/E4</f>
        <v>7.8412451829756747E-3</v>
      </c>
      <c r="J4" s="21">
        <f>C4-D4</f>
        <v>13.25</v>
      </c>
      <c r="K4" s="21">
        <f>J4/E4*100</f>
        <v>1.6233765990975146</v>
      </c>
      <c r="M4" s="10" t="s">
        <v>17</v>
      </c>
      <c r="N4" s="11">
        <f>AVERAGE(I4:I26)</f>
        <v>1.6631824581018891E-3</v>
      </c>
    </row>
    <row r="5" spans="1:14" x14ac:dyDescent="0.25">
      <c r="A5" s="5">
        <v>45812</v>
      </c>
      <c r="B5" s="21">
        <v>806.5</v>
      </c>
      <c r="C5" s="21">
        <v>817</v>
      </c>
      <c r="D5" s="21">
        <v>805.25</v>
      </c>
      <c r="E5" s="21">
        <v>817</v>
      </c>
      <c r="F5" s="21">
        <v>9607927</v>
      </c>
      <c r="G5" s="21">
        <f t="shared" ref="G5:G26" si="0">E5-B5</f>
        <v>10.5</v>
      </c>
      <c r="H5" s="21">
        <f t="shared" ref="H5:H26" si="1">IF(G5&gt;0, 1, 0)</f>
        <v>1</v>
      </c>
      <c r="I5" s="22">
        <f t="shared" ref="I5:I26" si="2">G5/E5</f>
        <v>1.2851897184822521E-2</v>
      </c>
      <c r="J5" s="21">
        <f t="shared" ref="J5:J26" si="3">C5-D5</f>
        <v>11.75</v>
      </c>
      <c r="K5" s="21">
        <f t="shared" ref="K5:K26" si="4">J5/E5*100</f>
        <v>1.438188494492044</v>
      </c>
      <c r="M5" s="12" t="s">
        <v>18</v>
      </c>
      <c r="N5" s="14">
        <f>AVERAGE(K4:K26)</f>
        <v>1.3012579618490037</v>
      </c>
    </row>
    <row r="6" spans="1:14" x14ac:dyDescent="0.25">
      <c r="A6" s="5">
        <v>45813</v>
      </c>
      <c r="B6" s="21">
        <v>806</v>
      </c>
      <c r="C6" s="21">
        <v>811.70001220703102</v>
      </c>
      <c r="D6" s="21">
        <v>802.84997558593705</v>
      </c>
      <c r="E6" s="21">
        <v>808.70001220703102</v>
      </c>
      <c r="F6" s="21">
        <v>13595507</v>
      </c>
      <c r="G6" s="21">
        <f t="shared" si="0"/>
        <v>2.7000122070310226</v>
      </c>
      <c r="H6" s="21">
        <f t="shared" si="1"/>
        <v>1</v>
      </c>
      <c r="I6" s="22">
        <f t="shared" si="2"/>
        <v>3.3387067717018989E-3</v>
      </c>
      <c r="J6" s="21">
        <f t="shared" si="3"/>
        <v>8.8500366210939774</v>
      </c>
      <c r="K6" s="21">
        <f t="shared" si="4"/>
        <v>1.0943534669847792</v>
      </c>
      <c r="M6" s="12" t="s">
        <v>19</v>
      </c>
      <c r="N6" s="14">
        <f>MAX(G4:G26)</f>
        <v>10.5</v>
      </c>
    </row>
    <row r="7" spans="1:14" x14ac:dyDescent="0.25">
      <c r="A7" s="5">
        <v>45814</v>
      </c>
      <c r="B7" s="21">
        <v>813.04998779296795</v>
      </c>
      <c r="C7" s="21">
        <v>816.45001220703102</v>
      </c>
      <c r="D7" s="21">
        <v>803.09997558593705</v>
      </c>
      <c r="E7" s="21">
        <v>806.65002441406205</v>
      </c>
      <c r="F7" s="21">
        <v>17163935</v>
      </c>
      <c r="G7" s="21">
        <f t="shared" si="0"/>
        <v>-6.3999633789059089</v>
      </c>
      <c r="H7" s="21">
        <f t="shared" si="1"/>
        <v>0</v>
      </c>
      <c r="I7" s="22">
        <f t="shared" si="2"/>
        <v>-7.9340025850178856E-3</v>
      </c>
      <c r="J7" s="21">
        <f t="shared" si="3"/>
        <v>13.350036621093977</v>
      </c>
      <c r="K7" s="21">
        <f t="shared" si="4"/>
        <v>1.6549973615622506</v>
      </c>
      <c r="M7" s="12" t="s">
        <v>20</v>
      </c>
      <c r="N7" s="14">
        <f>MIN(G4:G26)</f>
        <v>-11.349975585937045</v>
      </c>
    </row>
    <row r="8" spans="1:14" x14ac:dyDescent="0.25">
      <c r="A8" s="5">
        <v>45817</v>
      </c>
      <c r="B8" s="21">
        <v>820.04998779296795</v>
      </c>
      <c r="C8" s="21">
        <v>824.5</v>
      </c>
      <c r="D8" s="21">
        <v>815.70001220703102</v>
      </c>
      <c r="E8" s="21">
        <v>817.40002441406205</v>
      </c>
      <c r="F8" s="21">
        <v>12793040</v>
      </c>
      <c r="G8" s="21">
        <f t="shared" si="0"/>
        <v>-2.6499633789059089</v>
      </c>
      <c r="H8" s="21">
        <f t="shared" si="1"/>
        <v>0</v>
      </c>
      <c r="I8" s="22">
        <f t="shared" si="2"/>
        <v>-3.2419418886187163E-3</v>
      </c>
      <c r="J8" s="21">
        <f t="shared" si="3"/>
        <v>8.7999877929689774</v>
      </c>
      <c r="K8" s="21">
        <f t="shared" si="4"/>
        <v>1.0765827661036693</v>
      </c>
      <c r="M8" s="12" t="s">
        <v>21</v>
      </c>
      <c r="N8" s="15">
        <f>AVERAGE(F4:F26)</f>
        <v>11438298.304347826</v>
      </c>
    </row>
    <row r="9" spans="1:14" x14ac:dyDescent="0.25">
      <c r="A9" s="5">
        <v>45818</v>
      </c>
      <c r="B9" s="21">
        <v>817.04998779296795</v>
      </c>
      <c r="C9" s="21">
        <v>822.04998779296795</v>
      </c>
      <c r="D9" s="21">
        <v>814.59997558593705</v>
      </c>
      <c r="E9" s="21">
        <v>821</v>
      </c>
      <c r="F9" s="21">
        <v>6560513</v>
      </c>
      <c r="G9" s="21">
        <f t="shared" si="0"/>
        <v>3.9500122070320458</v>
      </c>
      <c r="H9" s="21">
        <f t="shared" si="1"/>
        <v>1</v>
      </c>
      <c r="I9" s="22">
        <f t="shared" si="2"/>
        <v>4.8112207150207619E-3</v>
      </c>
      <c r="J9" s="21">
        <f t="shared" si="3"/>
        <v>7.4500122070309089</v>
      </c>
      <c r="K9" s="21">
        <f t="shared" si="4"/>
        <v>0.90743145030827144</v>
      </c>
      <c r="M9" s="12" t="s">
        <v>22</v>
      </c>
      <c r="N9" s="16">
        <f>COUNTIF(G4:G24,"&gt;0")/COUNTA(G4:G24)</f>
        <v>0.52380952380952384</v>
      </c>
    </row>
    <row r="10" spans="1:14" x14ac:dyDescent="0.25">
      <c r="A10" s="5">
        <v>45819</v>
      </c>
      <c r="B10" s="21">
        <v>815.04998779296795</v>
      </c>
      <c r="C10" s="21">
        <v>820.59997558593705</v>
      </c>
      <c r="D10" s="21">
        <v>813.04998779296795</v>
      </c>
      <c r="E10" s="21">
        <v>817</v>
      </c>
      <c r="F10" s="21">
        <v>7197825</v>
      </c>
      <c r="G10" s="21">
        <f t="shared" si="0"/>
        <v>1.9500122070320458</v>
      </c>
      <c r="H10" s="21">
        <f t="shared" si="1"/>
        <v>1</v>
      </c>
      <c r="I10" s="22">
        <f t="shared" si="2"/>
        <v>2.3867958470404479E-3</v>
      </c>
      <c r="J10" s="21">
        <f t="shared" si="3"/>
        <v>7.5499877929690911</v>
      </c>
      <c r="K10" s="21">
        <f t="shared" si="4"/>
        <v>0.92411111297051296</v>
      </c>
      <c r="M10" s="12" t="s">
        <v>23</v>
      </c>
      <c r="N10" s="17">
        <f>SUM(H4:H26)</f>
        <v>13</v>
      </c>
    </row>
    <row r="11" spans="1:14" ht="15.75" thickBot="1" x14ac:dyDescent="0.3">
      <c r="A11" s="5">
        <v>45820</v>
      </c>
      <c r="B11" s="21">
        <v>805.95001220703102</v>
      </c>
      <c r="C11" s="21">
        <v>816.5</v>
      </c>
      <c r="D11" s="21">
        <v>801.20001220703102</v>
      </c>
      <c r="E11" s="21">
        <v>816</v>
      </c>
      <c r="F11" s="21">
        <v>13448521</v>
      </c>
      <c r="G11" s="21">
        <f t="shared" si="0"/>
        <v>10.049987792968977</v>
      </c>
      <c r="H11" s="21">
        <f t="shared" si="1"/>
        <v>1</v>
      </c>
      <c r="I11" s="22">
        <f t="shared" si="2"/>
        <v>1.2316161510991394E-2</v>
      </c>
      <c r="J11" s="21">
        <f t="shared" si="3"/>
        <v>15.299987792968977</v>
      </c>
      <c r="K11" s="21">
        <f t="shared" si="4"/>
        <v>1.8749985040403161</v>
      </c>
      <c r="M11" s="13" t="s">
        <v>37</v>
      </c>
      <c r="N11" s="28">
        <f>_xlfn.STDEV.P(G4:G30)</f>
        <v>5.6140464037367162</v>
      </c>
    </row>
    <row r="12" spans="1:14" x14ac:dyDescent="0.25">
      <c r="A12" s="5">
        <v>45821</v>
      </c>
      <c r="B12" s="21">
        <v>792.34997558593705</v>
      </c>
      <c r="C12" s="21">
        <v>796.29998779296795</v>
      </c>
      <c r="D12" s="21">
        <v>786.25</v>
      </c>
      <c r="E12" s="21">
        <v>786.25</v>
      </c>
      <c r="F12" s="21">
        <v>11377117</v>
      </c>
      <c r="G12" s="21">
        <f t="shared" si="0"/>
        <v>-6.0999755859370453</v>
      </c>
      <c r="H12" s="21">
        <f t="shared" si="1"/>
        <v>0</v>
      </c>
      <c r="I12" s="22">
        <f t="shared" si="2"/>
        <v>-7.758315530603555E-3</v>
      </c>
      <c r="J12" s="21">
        <f t="shared" si="3"/>
        <v>10.049987792967954</v>
      </c>
      <c r="K12" s="21">
        <f t="shared" si="4"/>
        <v>1.2782178433027604</v>
      </c>
    </row>
    <row r="13" spans="1:14" x14ac:dyDescent="0.25">
      <c r="A13" s="5">
        <v>45824</v>
      </c>
      <c r="B13" s="21">
        <v>792.5</v>
      </c>
      <c r="C13" s="21">
        <v>795.40002441406205</v>
      </c>
      <c r="D13" s="21">
        <v>786.15002441406205</v>
      </c>
      <c r="E13" s="21">
        <v>792.5</v>
      </c>
      <c r="F13" s="21">
        <v>8085001</v>
      </c>
      <c r="G13" s="21">
        <f t="shared" si="0"/>
        <v>0</v>
      </c>
      <c r="H13" s="21">
        <f t="shared" si="1"/>
        <v>0</v>
      </c>
      <c r="I13" s="22">
        <f t="shared" si="2"/>
        <v>0</v>
      </c>
      <c r="J13" s="21">
        <f t="shared" si="3"/>
        <v>9.25</v>
      </c>
      <c r="K13" s="21">
        <f t="shared" si="4"/>
        <v>1.1671924290220819</v>
      </c>
    </row>
    <row r="14" spans="1:14" x14ac:dyDescent="0.25">
      <c r="A14" s="5">
        <v>45825</v>
      </c>
      <c r="B14" s="21">
        <v>792.29998779296795</v>
      </c>
      <c r="C14" s="21">
        <v>798.84997558593705</v>
      </c>
      <c r="D14" s="21">
        <v>790.54998779296795</v>
      </c>
      <c r="E14" s="21">
        <v>794</v>
      </c>
      <c r="F14" s="21">
        <v>7753156</v>
      </c>
      <c r="G14" s="21">
        <f t="shared" si="0"/>
        <v>1.7000122070320458</v>
      </c>
      <c r="H14" s="21">
        <f t="shared" si="1"/>
        <v>1</v>
      </c>
      <c r="I14" s="22">
        <f t="shared" si="2"/>
        <v>2.1410733086045918E-3</v>
      </c>
      <c r="J14" s="21">
        <f t="shared" si="3"/>
        <v>8.2999877929690911</v>
      </c>
      <c r="K14" s="21">
        <f t="shared" si="4"/>
        <v>1.0453385129683994</v>
      </c>
    </row>
    <row r="15" spans="1:14" x14ac:dyDescent="0.25">
      <c r="A15" s="5">
        <v>45826</v>
      </c>
      <c r="B15" s="21">
        <v>791.90002441406205</v>
      </c>
      <c r="C15" s="21">
        <v>795.5</v>
      </c>
      <c r="D15" s="21">
        <v>788.34997558593705</v>
      </c>
      <c r="E15" s="21">
        <v>792.5</v>
      </c>
      <c r="F15" s="21">
        <v>5710169</v>
      </c>
      <c r="G15" s="21">
        <f t="shared" si="0"/>
        <v>0.59997558593795475</v>
      </c>
      <c r="H15" s="21">
        <f t="shared" si="1"/>
        <v>1</v>
      </c>
      <c r="I15" s="22">
        <f t="shared" si="2"/>
        <v>7.5706698541066846E-4</v>
      </c>
      <c r="J15" s="21">
        <f t="shared" si="3"/>
        <v>7.1500244140629547</v>
      </c>
      <c r="K15" s="21">
        <f t="shared" si="4"/>
        <v>0.9022112825316031</v>
      </c>
    </row>
    <row r="16" spans="1:14" x14ac:dyDescent="0.25">
      <c r="A16" s="5">
        <v>45827</v>
      </c>
      <c r="B16" s="21">
        <v>785.09997558593705</v>
      </c>
      <c r="C16" s="21">
        <v>793.25</v>
      </c>
      <c r="D16" s="21">
        <v>781.70001220703102</v>
      </c>
      <c r="E16" s="21">
        <v>792.34997558593705</v>
      </c>
      <c r="F16" s="21">
        <v>11824333</v>
      </c>
      <c r="G16" s="21">
        <f t="shared" si="0"/>
        <v>7.25</v>
      </c>
      <c r="H16" s="21">
        <f t="shared" si="1"/>
        <v>1</v>
      </c>
      <c r="I16" s="22">
        <f t="shared" si="2"/>
        <v>9.1499971267604042E-3</v>
      </c>
      <c r="J16" s="21">
        <f t="shared" si="3"/>
        <v>11.549987792968977</v>
      </c>
      <c r="K16" s="21">
        <f t="shared" si="4"/>
        <v>1.4576876568246051</v>
      </c>
    </row>
    <row r="17" spans="1:11" x14ac:dyDescent="0.25">
      <c r="A17" s="5">
        <v>45828</v>
      </c>
      <c r="B17" s="21">
        <v>796.15002441406205</v>
      </c>
      <c r="C17" s="21">
        <v>799.45001220703102</v>
      </c>
      <c r="D17" s="21">
        <v>786.09997558593705</v>
      </c>
      <c r="E17" s="21">
        <v>787.5</v>
      </c>
      <c r="F17" s="21">
        <v>11367669</v>
      </c>
      <c r="G17" s="21">
        <f t="shared" si="0"/>
        <v>-8.6500244140620453</v>
      </c>
      <c r="H17" s="21">
        <f t="shared" si="1"/>
        <v>0</v>
      </c>
      <c r="I17" s="22">
        <f t="shared" si="2"/>
        <v>-1.0984157986110533E-2</v>
      </c>
      <c r="J17" s="21">
        <f t="shared" si="3"/>
        <v>13.350036621093977</v>
      </c>
      <c r="K17" s="21">
        <f t="shared" si="4"/>
        <v>1.6952427455357431</v>
      </c>
    </row>
    <row r="18" spans="1:11" x14ac:dyDescent="0.25">
      <c r="A18" s="5">
        <v>45831</v>
      </c>
      <c r="B18" s="21">
        <v>790.20001220703102</v>
      </c>
      <c r="C18" s="21">
        <v>794.95001220703102</v>
      </c>
      <c r="D18" s="21">
        <v>788.5</v>
      </c>
      <c r="E18" s="21">
        <v>790</v>
      </c>
      <c r="F18" s="21">
        <v>5549253</v>
      </c>
      <c r="G18" s="21">
        <f t="shared" si="0"/>
        <v>-0.20001220703102263</v>
      </c>
      <c r="H18" s="21">
        <f t="shared" si="1"/>
        <v>0</v>
      </c>
      <c r="I18" s="22">
        <f t="shared" si="2"/>
        <v>-2.5318000890002865E-4</v>
      </c>
      <c r="J18" s="21">
        <f t="shared" si="3"/>
        <v>6.4500122070310226</v>
      </c>
      <c r="K18" s="21">
        <f t="shared" si="4"/>
        <v>0.81645724139633202</v>
      </c>
    </row>
    <row r="19" spans="1:11" x14ac:dyDescent="0.25">
      <c r="A19" s="5">
        <v>45832</v>
      </c>
      <c r="B19" s="21">
        <v>795.40002441406205</v>
      </c>
      <c r="C19" s="21">
        <v>806.65002441406205</v>
      </c>
      <c r="D19" s="21">
        <v>793.65002441406205</v>
      </c>
      <c r="E19" s="21">
        <v>799</v>
      </c>
      <c r="F19" s="21">
        <v>11402190</v>
      </c>
      <c r="G19" s="21">
        <f t="shared" si="0"/>
        <v>3.5999755859379547</v>
      </c>
      <c r="H19" s="21">
        <f t="shared" si="1"/>
        <v>1</v>
      </c>
      <c r="I19" s="22">
        <f t="shared" si="2"/>
        <v>4.5056014842777903E-3</v>
      </c>
      <c r="J19" s="21">
        <f t="shared" si="3"/>
        <v>13</v>
      </c>
      <c r="K19" s="21">
        <f t="shared" si="4"/>
        <v>1.6270337922403004</v>
      </c>
    </row>
    <row r="20" spans="1:11" x14ac:dyDescent="0.25">
      <c r="A20" s="5">
        <v>45833</v>
      </c>
      <c r="B20" s="21">
        <v>800.04998779296795</v>
      </c>
      <c r="C20" s="21">
        <v>803.79998779296795</v>
      </c>
      <c r="D20" s="21">
        <v>796.09997558593705</v>
      </c>
      <c r="E20" s="21">
        <v>799.5</v>
      </c>
      <c r="F20" s="21">
        <v>6528324</v>
      </c>
      <c r="G20" s="21">
        <f t="shared" si="0"/>
        <v>-0.54998779296795419</v>
      </c>
      <c r="H20" s="21">
        <f t="shared" si="1"/>
        <v>0</v>
      </c>
      <c r="I20" s="22">
        <f t="shared" si="2"/>
        <v>-6.8791468788987394E-4</v>
      </c>
      <c r="J20" s="21">
        <f t="shared" si="3"/>
        <v>7.7000122070309089</v>
      </c>
      <c r="K20" s="21">
        <f t="shared" si="4"/>
        <v>0.96310346554482917</v>
      </c>
    </row>
    <row r="21" spans="1:11" x14ac:dyDescent="0.25">
      <c r="A21" s="5">
        <v>45834</v>
      </c>
      <c r="B21" s="21">
        <v>797.04998779296795</v>
      </c>
      <c r="C21" s="21">
        <v>803.34997558593705</v>
      </c>
      <c r="D21" s="21">
        <v>791.40002441406205</v>
      </c>
      <c r="E21" s="21">
        <v>802</v>
      </c>
      <c r="F21" s="21">
        <v>24704402</v>
      </c>
      <c r="G21" s="21">
        <f t="shared" si="0"/>
        <v>4.9500122070320458</v>
      </c>
      <c r="H21" s="21">
        <f t="shared" si="1"/>
        <v>1</v>
      </c>
      <c r="I21" s="22">
        <f t="shared" si="2"/>
        <v>6.1720850461746204E-3</v>
      </c>
      <c r="J21" s="21">
        <f t="shared" si="3"/>
        <v>11.949951171875</v>
      </c>
      <c r="K21" s="21">
        <f t="shared" si="4"/>
        <v>1.4900188493609725</v>
      </c>
    </row>
    <row r="22" spans="1:11" x14ac:dyDescent="0.25">
      <c r="A22" s="5">
        <v>45835</v>
      </c>
      <c r="B22" s="21">
        <v>805.40002441406205</v>
      </c>
      <c r="C22" s="21">
        <v>809.45001220703102</v>
      </c>
      <c r="D22" s="21">
        <v>802.65002441406205</v>
      </c>
      <c r="E22" s="21">
        <v>805</v>
      </c>
      <c r="F22" s="21">
        <v>19375990</v>
      </c>
      <c r="G22" s="21">
        <f t="shared" si="0"/>
        <v>-0.40002441406204525</v>
      </c>
      <c r="H22" s="21">
        <f t="shared" si="1"/>
        <v>0</v>
      </c>
      <c r="I22" s="22">
        <f t="shared" si="2"/>
        <v>-4.9692473796527357E-4</v>
      </c>
      <c r="J22" s="21">
        <f t="shared" si="3"/>
        <v>6.7999877929689774</v>
      </c>
      <c r="K22" s="21">
        <f t="shared" si="4"/>
        <v>0.84471898049304062</v>
      </c>
    </row>
    <row r="23" spans="1:11" x14ac:dyDescent="0.25">
      <c r="A23" s="5">
        <v>45838</v>
      </c>
      <c r="B23" s="21">
        <v>820.34997558593705</v>
      </c>
      <c r="C23" s="21">
        <v>821</v>
      </c>
      <c r="D23" s="21">
        <v>807.04998779296795</v>
      </c>
      <c r="E23" s="21">
        <v>809</v>
      </c>
      <c r="F23" s="21">
        <v>19652607</v>
      </c>
      <c r="G23" s="21">
        <f t="shared" si="0"/>
        <v>-11.349975585937045</v>
      </c>
      <c r="H23" s="21">
        <f t="shared" si="1"/>
        <v>0</v>
      </c>
      <c r="I23" s="22">
        <f t="shared" si="2"/>
        <v>-1.4029636076560006E-2</v>
      </c>
      <c r="J23" s="21">
        <f t="shared" si="3"/>
        <v>13.950012207032046</v>
      </c>
      <c r="K23" s="21">
        <f t="shared" si="4"/>
        <v>1.7243525595836893</v>
      </c>
    </row>
    <row r="24" spans="1:11" x14ac:dyDescent="0.25">
      <c r="A24" s="5">
        <v>45839</v>
      </c>
      <c r="B24" s="21">
        <v>820.29998779296795</v>
      </c>
      <c r="C24" s="21">
        <v>824.90002441406205</v>
      </c>
      <c r="D24" s="21">
        <v>813.25</v>
      </c>
      <c r="E24" s="21">
        <v>820</v>
      </c>
      <c r="F24" s="21">
        <v>11456405</v>
      </c>
      <c r="G24" s="21">
        <f t="shared" si="0"/>
        <v>-0.29998779296795419</v>
      </c>
      <c r="H24" s="21">
        <f t="shared" si="1"/>
        <v>0</v>
      </c>
      <c r="I24" s="22">
        <f t="shared" si="2"/>
        <v>-3.6583877191213925E-4</v>
      </c>
      <c r="J24" s="21">
        <f t="shared" si="3"/>
        <v>11.650024414062045</v>
      </c>
      <c r="K24" s="21">
        <f t="shared" si="4"/>
        <v>1.4207346846417128</v>
      </c>
    </row>
    <row r="25" spans="1:11" x14ac:dyDescent="0.25">
      <c r="A25" s="5">
        <v>45840</v>
      </c>
      <c r="B25" s="21">
        <v>812.90002441406205</v>
      </c>
      <c r="C25" s="21">
        <v>824.04998779296795</v>
      </c>
      <c r="D25" s="21">
        <v>809</v>
      </c>
      <c r="E25" s="21">
        <v>821</v>
      </c>
      <c r="F25" s="21">
        <v>6661200</v>
      </c>
      <c r="G25" s="21">
        <f t="shared" si="0"/>
        <v>8.0999755859379547</v>
      </c>
      <c r="H25" s="21">
        <f t="shared" si="1"/>
        <v>1</v>
      </c>
      <c r="I25" s="22">
        <f t="shared" si="2"/>
        <v>9.8659873153933673E-3</v>
      </c>
      <c r="J25" s="21">
        <f t="shared" si="3"/>
        <v>15.049987792967954</v>
      </c>
      <c r="K25" s="21">
        <f t="shared" si="4"/>
        <v>1.8331288420180212</v>
      </c>
    </row>
    <row r="26" spans="1:11" x14ac:dyDescent="0.25">
      <c r="A26" s="5">
        <v>45841</v>
      </c>
      <c r="B26" s="21">
        <v>807.09997558593705</v>
      </c>
      <c r="C26" s="21">
        <v>814.5</v>
      </c>
      <c r="D26" s="21">
        <v>805.79998779296795</v>
      </c>
      <c r="E26" s="21">
        <v>813.5</v>
      </c>
      <c r="F26" s="21">
        <v>7018180</v>
      </c>
      <c r="G26" s="21">
        <f t="shared" si="0"/>
        <v>6.4000244140629547</v>
      </c>
      <c r="H26" s="21">
        <f t="shared" si="1"/>
        <v>1</v>
      </c>
      <c r="I26" s="22">
        <f t="shared" si="2"/>
        <v>7.8672703307473314E-3</v>
      </c>
      <c r="J26" s="21">
        <f t="shared" si="3"/>
        <v>8.7000122070320458</v>
      </c>
      <c r="K26" s="21">
        <f t="shared" si="4"/>
        <v>1.069454481503632</v>
      </c>
    </row>
  </sheetData>
  <conditionalFormatting sqref="G4:I26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Sheet</vt:lpstr>
      <vt:lpstr>Dashboard</vt:lpstr>
      <vt:lpstr>AXISBANK</vt:lpstr>
      <vt:lpstr>HDFC</vt:lpstr>
      <vt:lpstr>ICICI</vt:lpstr>
      <vt:lpstr>INDUS</vt:lpstr>
      <vt:lpstr>KOTAK</vt:lpstr>
      <vt:lpstr>SBI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Makhija</dc:creator>
  <cp:lastModifiedBy>Palash Makhija</cp:lastModifiedBy>
  <dcterms:created xsi:type="dcterms:W3CDTF">2025-07-05T10:26:56Z</dcterms:created>
  <dcterms:modified xsi:type="dcterms:W3CDTF">2025-07-07T10:16:50Z</dcterms:modified>
</cp:coreProperties>
</file>